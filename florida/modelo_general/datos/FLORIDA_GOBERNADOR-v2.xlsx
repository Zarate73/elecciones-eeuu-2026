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565658ce3cbf34/Dokumente/encuestas gubernaturas eu/"/>
    </mc:Choice>
  </mc:AlternateContent>
  <xr:revisionPtr revIDLastSave="0" documentId="8_{90242ED3-EC24-4CA7-A2B9-1B7548287E3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obernador Florida" sheetId="1" r:id="rId1"/>
    <sheet name="Apuestas" sheetId="2" state="hidden" r:id="rId2"/>
    <sheet name="Histórico encuest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1" i="1"/>
  <c r="D30" i="1"/>
  <c r="D29" i="1"/>
  <c r="D28" i="1"/>
  <c r="D27" i="1"/>
  <c r="D26" i="1"/>
  <c r="D25" i="1"/>
  <c r="D19" i="1"/>
  <c r="C19" i="1"/>
  <c r="B19" i="1"/>
  <c r="D17" i="1"/>
  <c r="D18" i="1" s="1"/>
  <c r="C17" i="1"/>
  <c r="C18" i="1" s="1"/>
  <c r="B17" i="1"/>
  <c r="B18" i="1" s="1"/>
  <c r="E16" i="1"/>
  <c r="E15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R8" i="1"/>
  <c r="Q8" i="1"/>
  <c r="P8" i="1"/>
  <c r="O8" i="1"/>
  <c r="N8" i="1"/>
  <c r="M8" i="1"/>
  <c r="L8" i="1"/>
  <c r="B8" i="1"/>
  <c r="AA7" i="1"/>
  <c r="AA8" i="1" s="1"/>
  <c r="Z7" i="1"/>
  <c r="Z8" i="1" s="1"/>
  <c r="Y7" i="1"/>
  <c r="Y8" i="1" s="1"/>
  <c r="X7" i="1"/>
  <c r="X8" i="1" s="1"/>
  <c r="W7" i="1"/>
  <c r="W8" i="1" s="1"/>
  <c r="V7" i="1"/>
  <c r="V8" i="1" s="1"/>
  <c r="U7" i="1"/>
  <c r="U8" i="1" s="1"/>
  <c r="T7" i="1"/>
  <c r="T8" i="1" s="1"/>
  <c r="S7" i="1"/>
  <c r="S8" i="1" s="1"/>
  <c r="R7" i="1"/>
  <c r="Q7" i="1"/>
  <c r="P7" i="1"/>
  <c r="O7" i="1"/>
  <c r="N7" i="1"/>
  <c r="M7" i="1"/>
  <c r="L7" i="1"/>
  <c r="K7" i="1"/>
  <c r="K8" i="1" s="1"/>
  <c r="J7" i="1"/>
  <c r="J8" i="1" s="1"/>
  <c r="I7" i="1"/>
  <c r="I8" i="1" s="1"/>
  <c r="H7" i="1"/>
  <c r="H8" i="1" s="1"/>
  <c r="G7" i="1"/>
  <c r="G8" i="1" s="1"/>
  <c r="F7" i="1"/>
  <c r="F8" i="1" s="1"/>
  <c r="E7" i="1"/>
  <c r="E8" i="1" s="1"/>
  <c r="D7" i="1"/>
  <c r="D8" i="1" s="1"/>
  <c r="C7" i="1"/>
  <c r="C8" i="1" s="1"/>
  <c r="B7" i="1"/>
  <c r="AA6" i="1"/>
  <c r="AA5" i="1"/>
  <c r="AA9" i="1" s="1"/>
  <c r="AA4" i="1"/>
  <c r="E19" i="1" l="1"/>
  <c r="E17" i="1"/>
  <c r="E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Fuente: https://www.predictionedge.com/elections/governor/florida-race-winner-by-party/
Consulta: 09/10/2026.
St. Pete Polls. Levantamiento: 2026-10-05 a 2026-10-07. Muestra: n.d. (LV). Margen: n.d..
Jolly: 44.6%; Donalds: 44.7%. RCP lo redondea a 45–45 (empate).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>Fuente: https://www.newsweek.com/david-jolly-within-striking-distance-of-byron-donalds-florida-poll-12537458
Consulta: 09/10/2026.
YouGov. Levantamiento: 2026-09-28 a 2026-10-05. Muestra: 3,813 (LV). Margen: ± 2.7%.
Jolly: 45%; Donalds: 47%. Indecisos: 7%. RCP lista fechas 24 sep–3 oct.</t>
        </r>
      </text>
    </comment>
    <comment ref="D3" authorId="0" shapeId="0" xr:uid="{00000000-0006-0000-0000-000007000000}">
      <text>
        <r>
          <rPr>
            <sz val="10"/>
            <rFont val="Arial"/>
            <family val="2"/>
          </rPr>
          <t>Fuente: https://floridianpress.com/2026/10/poll-byron-donalds-with-10-point-advantage-over-david-jolly-in-governors-race/
Consulta: 09/10/2026.
James Madison Institute / Targoz. Levantamiento: 2026-09-28 a 2026-10-04. Muestra: n.d. (LV). Margen: ± 2.77%.
Jolly: 42%; Donalds: 52%. Otro candidato: 3%; Indecisos: 3%. Entre registrados: Donalds 48–39.</t>
        </r>
      </text>
    </comment>
    <comment ref="E3" authorId="0" shapeId="0" xr:uid="{00000000-0006-0000-0000-000009000000}">
      <text>
        <r>
          <rPr>
            <sz val="10"/>
            <rFont val="Arial"/>
            <family val="2"/>
          </rPr>
          <t>Fuente: https://www.nbcmiami.com/elections/donalds-leads-jolly-in-2026-florida-governors-race-new-poll-finds/3869116/
Consulta: 09/10/2026.
Mason-Dixon — NBC 6 / Telemundo. Levantamiento: 2026-09-28 a 2026-10-01. Muestra: 625 (LV). Margen: ± 4.0%.
Jolly: 41%; Donalds: 48%. Independiente: 1%; Indecisos: 10%.</t>
        </r>
      </text>
    </comment>
    <comment ref="F3" authorId="0" shapeId="0" xr:uid="{00000000-0006-0000-0000-00000A000000}">
      <text>
        <r>
          <rPr>
            <sz val="10"/>
            <rFont val="Arial"/>
            <family val="2"/>
          </rPr>
          <t>Fuente: https://www.270towin.com/2026-governor-polls/florida
Consulta: 09/10/2026.
Change Research (D). Levantamiento: 2026-09-25 a 2026-09-27. Muestra: 1,063 (LV). Margen: ± 2.8%.
Jolly: 48%; Donalds: 46%. Para Freedom Project USA.</t>
        </r>
      </text>
    </comment>
    <comment ref="G3" authorId="0" shapeId="0" xr:uid="{00000000-0006-0000-0000-00000C000000}">
      <text>
        <r>
          <rPr>
            <sz val="10"/>
            <rFont val="Arial"/>
            <family val="2"/>
          </rPr>
          <t>Fuente: https://www.270towin.com/2026-governor-polls/florida
Consulta: 09/10/2026.
Stetson University. Levantamiento: 2026-09-14 a 2026-09-21. Muestra: 522 (LV). Margen: ± 4.3%.
Jolly: 39%; Donalds: 51%.</t>
        </r>
      </text>
    </comment>
    <comment ref="H3" authorId="0" shapeId="0" xr:uid="{00000000-0006-0000-0000-00000E000000}">
      <text>
        <r>
          <rPr>
            <sz val="10"/>
            <rFont val="Arial"/>
            <family val="2"/>
          </rPr>
          <t>Fuente: https://www.newsweek.com/new-poll-shows-byron-donalds-david-jolly-deadlocked-in-florida-race-12458370
Consulta: 09/10/2026.
St. Pete Polls. Levantamiento: 2026-09-15 a 2026-09-17. Muestra: 913 (LV). Margen: ± 3.2%.
Jolly: 43.4%; Donalds: 43.5%. Otros: 4%; Indecisos: 9%.</t>
        </r>
      </text>
    </comment>
    <comment ref="I3" authorId="0" shapeId="0" xr:uid="{00000000-0006-0000-0000-000010000000}">
      <text>
        <r>
          <rPr>
            <sz val="10"/>
            <rFont val="Arial"/>
            <family val="2"/>
          </rPr>
          <t>Fuente: https://changeresearch.com/research/2026/2026-09-10-an-emerging-florida-blue-wave
Consulta: 09/10/2026.
Change Research (D). Levantamiento: 2026-09-07 a 2026-09-09. Muestra: 1,107 (LV). Margen: n.d..
Jolly: 47%; Donalds: 44%. Para Freedom Project USA.</t>
        </r>
      </text>
    </comment>
    <comment ref="J3" authorId="0" shapeId="0" xr:uid="{00000000-0006-0000-0000-000012000000}">
      <text>
        <r>
          <rPr>
            <sz val="10"/>
            <rFont val="Arial"/>
            <family val="2"/>
          </rPr>
          <t>Fuente: https://en.wikipedia.org/wiki/2026_Florida_gubernatorial_election#Polling
Consulta: 09/10/2026.
Hart Research (D). Levantamiento: 2026-08-10 a 2026-08-13. Muestra: 600 (LV). Margen: ± 4.0%.
Jolly: 46%; Donalds: 45%. Para la DGA. Indecisos: 9%.</t>
        </r>
      </text>
    </comment>
    <comment ref="K3" authorId="0" shapeId="0" xr:uid="{00000000-0006-0000-0000-000014000000}">
      <text>
        <r>
          <rPr>
            <sz val="10"/>
            <rFont val="Arial"/>
            <family val="2"/>
          </rPr>
          <t>Fuente: https://en.wikipedia.org/wiki/2026_Florida_gubernatorial_election#Polling
Consulta: 09/10/2026.
Targoz Market Research. Levantamiento: 2026-07-20 a 2026-07-26. Muestra: 1,026 (LV). Margen: n.d..
Jolly: 38%; Donalds: 45%. Para James Madison Institute. Indecisos: 17%. Entre registrados (1,338 RV): 40–36.</t>
        </r>
      </text>
    </comment>
    <comment ref="L3" authorId="0" shapeId="0" xr:uid="{00000000-0006-0000-0000-000016000000}">
      <text>
        <r>
          <rPr>
            <sz val="10"/>
            <rFont val="Arial"/>
            <family val="2"/>
          </rPr>
          <t>Fuente: https://en.wikipedia.org/wiki/2026_Florida_gubernatorial_election#Polling
Consulta: 09/10/2026.
University of North Florida. Levantamiento: 2026-07-08 a 2026-07-17. Muestra: 848 (LV). Margen: ± 3.8%.
Jolly: 41%; Donalds: 46%. Otros: 7%; Indecisos: 6%.</t>
        </r>
      </text>
    </comment>
    <comment ref="M3" authorId="0" shapeId="0" xr:uid="{00000000-0006-0000-0000-000018000000}">
      <text>
        <r>
          <rPr>
            <sz val="10"/>
            <rFont val="Arial"/>
            <family val="2"/>
          </rPr>
          <t>Fuente: https://en.wikipedia.org/wiki/2026_Florida_gubernatorial_election#Polling
Consulta: 09/10/2026.
Change Research (D). Levantamiento: 2026-07-09 a 2026-07-11. Muestra: 1,348 (RV). Margen: ± 2.8%.
Jolly: 37%; Donalds: 37%. Otros: 11%; Indecisos: 16%.</t>
        </r>
      </text>
    </comment>
    <comment ref="N3" authorId="0" shapeId="0" xr:uid="{00000000-0006-0000-0000-00001A000000}">
      <text>
        <r>
          <rPr>
            <sz val="10"/>
            <rFont val="Arial"/>
            <family val="2"/>
          </rPr>
          <t>Fuente: https://en.wikipedia.org/wiki/2026_Florida_gubernatorial_election#Polling
Consulta: 09/10/2026.
Change Research (D). Levantamiento: 2026-05-13 a 2026-05-16. Muestra: 1,593 (LV). Margen: ± 2.3%.
Jolly: 46%; Donalds: 42%. Otros: 4%; Indecisos: 8%. Entre registrados: Donalds 43–41.</t>
        </r>
      </text>
    </comment>
    <comment ref="O3" authorId="0" shapeId="0" xr:uid="{00000000-0006-0000-0000-00001C000000}">
      <text>
        <r>
          <rPr>
            <sz val="10"/>
            <rFont val="Arial"/>
            <family val="2"/>
          </rPr>
          <t>Fuente: https://en.wikipedia.org/wiki/2026_Florida_gubernatorial_election#Polling
Consulta: 09/10/2026.
Cherry Communications (R). Levantamiento: 2026-05-01 a 2026-05-09. Muestra: 604 (LV). Margen: ± 4.0%.
Jolly: 39%; Donalds: 47%. Indecisos: 14%.</t>
        </r>
      </text>
    </comment>
    <comment ref="P3" authorId="0" shapeId="0" xr:uid="{00000000-0006-0000-0000-00001E000000}">
      <text>
        <r>
          <rPr>
            <sz val="10"/>
            <rFont val="Arial"/>
            <family val="2"/>
          </rPr>
          <t>Fuente: https://en.wikipedia.org/wiki/2026_Florida_gubernatorial_election#Polling
Consulta: 09/10/2026.
Stetson University. Levantamiento: 2026-03-15 a 2026-04-13. Muestra: 848 (LV). Margen: ± 4.1%.
Jolly: 40%; Donalds: 47%. Indecisos: 7%.</t>
        </r>
      </text>
    </comment>
    <comment ref="Q3" authorId="0" shapeId="0" xr:uid="{00000000-0006-0000-0000-000020000000}">
      <text>
        <r>
          <rPr>
            <sz val="10"/>
            <rFont val="Arial"/>
            <family val="2"/>
          </rPr>
          <t>Fuente: https://en.wikipedia.org/wiki/2026_Florida_gubernatorial_election#Polling
Consulta: 09/10/2026.
Echelon Insights. Levantamiento: 2026-04-03 a 2026-04-09. Muestra: 406 (LV). Margen: ± 6.0%.
Jolly: 43%; Donalds: 49%. Indecisos: 8%.</t>
        </r>
      </text>
    </comment>
    <comment ref="R3" authorId="0" shapeId="0" xr:uid="{00000000-0006-0000-0000-000022000000}">
      <text>
        <r>
          <rPr>
            <sz val="10"/>
            <rFont val="Arial"/>
            <family val="2"/>
          </rPr>
          <t>Fuente: https://en.wikipedia.org/wiki/2026_Florida_gubernatorial_election#Polling
Consulta: 09/10/2026.
MDW Communications (D). Levantamiento: 2026-03-27 a 2026-04-03. Muestra: 1,834 (LV). Margen: ± 2.0%.
Jolly: 41%; Donalds: 41%. Indecisos: 18%.
— Actualización 09/10/2026 (decimales) —
Cifras con decimales: Donalds 41.2 / Jolly 40.5 (antes 41–41, empate). Fuente: USPollingData (https://uspollingdata.com/races/governor/florida/). Solo esa fuente publica los decimales.
Consulta: 09/10/2026.</t>
        </r>
      </text>
    </comment>
    <comment ref="S3" authorId="0" shapeId="0" xr:uid="{00000000-0006-0000-0000-000024000000}">
      <text>
        <r>
          <rPr>
            <sz val="10"/>
            <rFont val="Arial"/>
            <family val="2"/>
          </rPr>
          <t>Fuente: https://en.wikipedia.org/wiki/2026_Florida_gubernatorial_election#Polling
Consulta: 09/10/2026.
Emerson College. Levantamiento: 2026-03-29 a 2026-03-31. Muestra: 1,165 (LV). Margen: ± 2.8%.
Jolly: 39%; Donalds: 44%. Otros: 2%; Indecisos: 17%. 270toWin lista muestra de 1,125.
— Actualización 09/10/2026 (decimales) —
Cifras con decimales: Donalds 44.2 / Jolly 39.4 (antes 44–39). Emerson redondea en su comunicado; los decimales vienen de sus tablas. Fuente: USPollingData (https://uspollingdata.com/races/governor/florida/).
Consulta: 09/10/2026.</t>
        </r>
      </text>
    </comment>
    <comment ref="T3" authorId="0" shapeId="0" xr:uid="{00000000-0006-0000-0000-000026000000}">
      <text>
        <r>
          <rPr>
            <sz val="10"/>
            <rFont val="Arial"/>
            <family val="2"/>
          </rPr>
          <t>Fuente: https://en.wikipedia.org/wiki/2026_Florida_gubernatorial_election#Polling
Consulta: 09/10/2026.
University of North Florida. Levantamiento: 2026-02-21 a 2026-03-02. Muestra: 786 (LV). Margen: ± 4.0%.
Jolly: 36%; Donalds: 42%. Otros: 5%; Indecisos: 17%.</t>
        </r>
      </text>
    </comment>
    <comment ref="U3" authorId="0" shapeId="0" xr:uid="{00000000-0006-0000-0000-000028000000}">
      <text>
        <r>
          <rPr>
            <sz val="10"/>
            <rFont val="Arial"/>
            <family val="2"/>
          </rPr>
          <t>Fuente: https://en.wikipedia.org/wiki/2026_Florida_gubernatorial_election#Polling
Consulta: 09/10/2026.
Targoz Market Research. Levantamiento: 2026-02-13 a 2026-02-16. Muestra: 1,129 (LV). Margen: ± 2.8%.
Jolly: 36%; Donalds: 41%. Otros: 6%; Indecisos: 12%.</t>
        </r>
      </text>
    </comment>
    <comment ref="V3" authorId="0" shapeId="0" xr:uid="{00000000-0006-0000-0000-00002A000000}">
      <text>
        <r>
          <rPr>
            <sz val="10"/>
            <rFont val="Arial"/>
            <family val="2"/>
          </rPr>
          <t>Fuente: https://en.wikipedia.org/wiki/2026_Florida_gubernatorial_election#Polling
Consulta: 09/10/2026.
University of North Florida. Levantamiento: 2025-10-15 a 2025-10-25. Muestra: 728 (LV). Margen: ± 4.3%.
Jolly: 34%; Donalds: 45%. Otros: 3%; Indecisos: 18%.</t>
        </r>
      </text>
    </comment>
    <comment ref="W3" authorId="0" shapeId="0" xr:uid="{00000000-0006-0000-0000-00002C000000}">
      <text>
        <r>
          <rPr>
            <sz val="10"/>
            <rFont val="Arial"/>
            <family val="2"/>
          </rPr>
          <t>Fuente: https://en.wikipedia.org/wiki/2026_Florida_gubernatorial_election#Polling
Consulta: 09/10/2026.
Targoz Market Research. Levantamiento: 2025-09-16 a 2025-09-18. Muestra: 1,118 (RV). Margen: ± 2.8%.
Jolly: 32%; Donalds: 36%. Otros: 4%; Indecisos: 28%.</t>
        </r>
      </text>
    </comment>
    <comment ref="X3" authorId="0" shapeId="0" xr:uid="{00000000-0006-0000-0000-00002E000000}">
      <text>
        <r>
          <rPr>
            <sz val="10"/>
            <rFont val="Arial"/>
            <family val="2"/>
          </rPr>
          <t>Fuente: https://en.wikipedia.org/wiki/2026_Florida_gubernatorial_election#Polling
Consulta: 09/10/2026.
Bendixen &amp; Amandi (D). Levantamiento: 2025-09-07 a 2025-09-09. Muestra: 631 (LV). Margen: ± 4.0%.
Jolly: 41%; Donalds: 40%. Indecisos: 19%.</t>
        </r>
      </text>
    </comment>
    <comment ref="Y3" authorId="0" shapeId="0" xr:uid="{00000000-0006-0000-0000-000030000000}">
      <text>
        <r>
          <rPr>
            <sz val="10"/>
            <rFont val="Arial"/>
            <family val="2"/>
          </rPr>
          <t>Fuente: https://en.wikipedia.org/wiki/2026_Florida_gubernatorial_election#Polling
Consulta: 09/10/2026.
AIF Center (R). Levantamiento: 2025-08-25 a 2025-08-27. Muestra: 800 (LV). Margen: ± 3.5%.
Jolly: 41%; Donalds: 49%. Indecisos: 11%.</t>
        </r>
      </text>
    </comment>
    <comment ref="Z3" authorId="0" shapeId="0" xr:uid="{00000000-0006-0000-0000-000032000000}">
      <text>
        <r>
          <rPr>
            <sz val="10"/>
            <rFont val="Arial"/>
            <family val="2"/>
          </rPr>
          <t>Fuente: https://en.wikipedia.org/wiki/2026_Florida_gubernatorial_election#Polling
Consulta: 09/10/2026.
Victory Insights (R). Levantamiento: 2025-06-07 a 2025-06-10. Muestra: 600 (LV). Margen: ± 2.8%.
Jolly: 31%; Donalds: 37%. Indecisos: 32%.</t>
        </r>
      </text>
    </comment>
    <comment ref="B13" authorId="0" shapeId="0" xr:uid="{00000000-0006-0000-0000-000002000000}">
      <text>
        <r>
          <rPr>
            <sz val="10"/>
            <rFont val="Arial"/>
            <family val="2"/>
          </rPr>
          <t>Fuente: https://www.realclearpolling.com/polls/governor/general/2026/florida/donalds-vs-jolly
Consulta: 09/10/2026.
Promedio Donalds 47.8% vs. Jolly 42.5%. Periodo: 14 sep–07 oct 2026.</t>
        </r>
      </text>
    </comment>
    <comment ref="C13" authorId="0" shapeId="0" xr:uid="{00000000-0006-0000-0000-000004000000}">
      <text>
        <r>
          <rPr>
            <sz val="10"/>
            <rFont val="Arial"/>
            <family val="2"/>
          </rPr>
          <t>Fuente: https://www.270towin.com/2026-governor-polls/florida
Consulta: 09/10/2026.
Promedio Donalds 47.0% vs. Jolly 43.3%. Periodo: sep–oct 2026 (promedio reciente).</t>
        </r>
      </text>
    </comment>
    <comment ref="D13" authorId="0" shapeId="0" xr:uid="{00000000-0006-0000-0000-000008000000}">
      <text>
        <r>
          <rPr>
            <sz val="10"/>
            <rFont val="Arial"/>
            <family val="2"/>
          </rPr>
          <t>Fuente: https://www.predictionedge.com/elections/governor/florida-race-winner-by-party/
Consulta: 09/10/2026.
Promedio Donalds 44.8% vs. Jolly 42.2%. Periodo: 08 jul–07 oct 2026.</t>
        </r>
      </text>
    </comment>
    <comment ref="C24" authorId="0" shapeId="0" xr:uid="{00000000-0006-0000-0000-000005000000}">
      <text>
        <r>
          <rPr>
            <sz val="10"/>
            <rFont val="Arial"/>
            <family val="2"/>
          </rPr>
          <t>Fuente: Wikipedia, resultados de la primaria republicana del 18/08/2026. https://en.wikipedia.org/wiki/2026_Florida_gubernatorial_election#Polling
Consulta: 09/10/2026.
Total: 1,696,029 votos. Donalds 47.8%, Collins 25.2%, Fishback 10.5%, Renner 8.5%, Williams 4.1%, Rodriguez 1.6%. "Otros" agrupa a Holcomb (13,172), Shaw (7,878), McCaffrey (7,039), Succe (6,266) y Nokovich (5,188).</t>
        </r>
      </text>
    </comment>
    <comment ref="F24" authorId="0" shapeId="0" xr:uid="{00000000-0006-0000-0000-00000B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David J. Wolfson. Levantamiento: 2026-07-28 a 2026-07-29. Muestra: 988 (LV). Margen: ± 3.0%.
Donalds: 46%; Collins: 30%; Fishback: 10%; Renner: 6%; Otros: 4%; Indecisos: 4%. Los guiones o datos ausentes se conservan como n.d.; no son ceros.
— Actualización 09/10/2026 (decimales) —
Cifras con decimales: Fishback 9.8, Renner 5.9 (antes 10 y 6). Donalds 46 y Collins 30 se publicaron enteros. Fuente: The Floridian, https://floridianpress.com/2026/07/poll-jay-collins-accelerates-in-governors-race-leads-donalds-among-undecideds/
Consulta: 09/10/2026.</t>
        </r>
      </text>
    </comment>
    <comment ref="G24" authorId="0" shapeId="0" xr:uid="{00000000-0006-0000-0000-00000D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Quantus Insights (R). Levantamiento: 2026-07-27 a 2026-07-29. Muestra: 635 (LV). Margen: ± 4.1%.
Donalds: 50%; Collins: 16%; Fishback: 12%; Renner: 4%; Otros: 5%; Indecisos: 13%. Los guiones o datos ausentes se conservan como n.d.; no son ceros.
— Actualización 09/10/2026 (decimales) —
Cifras con decimales publicadas por Quantus: Donalds 49.6, Collins 15.7, Fishback 12.4, Renner 3.5, otro 5.3, indecisos 13.5 (antes 50/16/12/4/5/13). Fuente: https://quantus.substack.com/p/donalds-dominates-floridas-republican
Consulta: 09/10/2026.</t>
        </r>
      </text>
    </comment>
    <comment ref="H24" authorId="0" shapeId="0" xr:uid="{00000000-0006-0000-0000-00000F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Targoz Market Research. Levantamiento: 2026-07-20 a 2026-07-26. Muestra: 532 (LV). Margen: n.d..
Donalds: 49%; Collins: 18%; Fishback: 4%; Renner: 8%; Otros: 4%; Indecisos: 17%. Los guiones o datos ausentes se conservan como n.d.; no son ceros.</t>
        </r>
      </text>
    </comment>
    <comment ref="I24" authorId="0" shapeId="0" xr:uid="{00000000-0006-0000-0000-000011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Listener Group / Political Matrix (R). Levantamiento: 2026-07-21 a 2026-07-23. Muestra: 1,020 (LV). Margen: ± 3.1%.
Donalds: 32%; Collins: 2%; Fishback: 13%; Renner: 19%; Otros: n.d.; Indecisos: 32%. Los guiones o datos ausentes se conservan como n.d.; no son ceros.</t>
        </r>
      </text>
    </comment>
    <comment ref="J24" authorId="0" shapeId="0" xr:uid="{00000000-0006-0000-0000-000013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Fabrizio, Lee &amp; Assoc. (R). Levantamiento: 2026-07-14 a 2026-07-16. Muestra: 400 (LV). Margen: n.d..
Donalds: 53%; Collins: 10%; Fishback: 9%; Renner: 4%; Otros: n.d.; Indecisos: 24%. Los guiones o datos ausentes se conservan como n.d.; no son ceros.</t>
        </r>
      </text>
    </comment>
    <comment ref="K24" authorId="0" shapeId="0" xr:uid="{00000000-0006-0000-0000-000015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Cygnal (R). Levantamiento: 2026-07-12 a 2026-07-13. Muestra: 500 (LV). Margen: ± 4.4%.
Donalds: 43%; Collins: 11%; Fishback: 12%; Renner: 2%; Otros: n.d.; Indecisos: 31%. Los guiones o datos ausentes se conservan como n.d.; no son ceros.</t>
        </r>
      </text>
    </comment>
    <comment ref="L24" authorId="0" shapeId="0" xr:uid="{00000000-0006-0000-0000-000017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Change Research (D). Levantamiento: 2026-07-09 a 2026-07-11. Muestra: n.d. (LV). Margen: n.d..
Donalds: 37%; Collins: 14%; Fishback: 12%; Renner: 2%; Otros: 5%; Indecisos: 30%. Los guiones o datos ausentes se conservan como n.d.; no son ceros.</t>
        </r>
      </text>
    </comment>
    <comment ref="M24" authorId="0" shapeId="0" xr:uid="{00000000-0006-0000-0000-000019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The Tyson Group (R). Levantamiento: 2026-07-08 a 2026-07-11. Muestra: 600 (LV). Margen: ± 4.0%.
Donalds: 48%; Collins: 9%; Fishback: 8%; Renner: 4%; Otros: 4%; Indecisos: 27%. Los guiones o datos ausentes se conservan como n.d.; no son ceros.</t>
        </r>
      </text>
    </comment>
    <comment ref="N24" authorId="0" shapeId="0" xr:uid="{00000000-0006-0000-0000-00001B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David J. Wolfson. Levantamiento: 2026-07-02 a 2026-07-06. Muestra: 934 (LV). Margen: ± 3.0%.
Donalds: 38%; Collins: 20%; Fishback: 10%; Renner: 2%; Otros: n.d.; Indecisos: 28%. Los guiones o datos ausentes se conservan como n.d.; no son ceros.</t>
        </r>
      </text>
    </comment>
    <comment ref="O24" authorId="0" shapeId="0" xr:uid="{00000000-0006-0000-0000-00001D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McLaughlin &amp; Assoc. (R). Levantamiento: 2026-06-03 a 2026-06-07. Muestra: 386 (LV). Margen: ± 3.0%.
Donalds: 54%; Collins: 5%; Fishback: 8%; Renner: 2%; Otros: n.d.; Indecisos: 31%. Los guiones o datos ausentes se conservan como n.d.; no son ceros.</t>
        </r>
      </text>
    </comment>
    <comment ref="P24" authorId="0" shapeId="0" xr:uid="{00000000-0006-0000-0000-00001F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Listener Group / Political Matrix (R). Levantamiento: 2026-05-31 a 2026-06-03. Muestra: 973 (LV). Margen: ± 3.1%.
Donalds: 29%; Collins: 11%; Fishback: 2%; Renner: 14%; Otros: n.d.; Indecisos: 44%. Los guiones o datos ausentes se conservan como n.d.; no son ceros.</t>
        </r>
      </text>
    </comment>
    <comment ref="Q24" authorId="0" shapeId="0" xr:uid="{00000000-0006-0000-0000-000021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Change Research (D). Levantamiento: 2026-05-13 a 2026-05-16. Muestra: n.d. (LV). Margen: n.d..
Donalds: 48%; Collins: 8%; Fishback: 9%; Renner: 3%; Otros: n.d.; Indecisos: 28%. Los guiones o datos ausentes se conservan como n.d.; no son ceros.</t>
        </r>
      </text>
    </comment>
    <comment ref="R24" authorId="0" shapeId="0" xr:uid="{00000000-0006-0000-0000-000023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Fabrizio, Lee &amp; Assoc. (R). Levantamiento: 2026-04-26 a 2026-04-30. Muestra: 420 (LV). Margen: ± 4.78%.
Donalds: 54%; Collins: 7%; Fishback: 9%; Renner: 2%; Otros: n.d.; Indecisos: 28%. Los guiones o datos ausentes se conservan como n.d.; no son ceros.</t>
        </r>
      </text>
    </comment>
    <comment ref="S24" authorId="0" shapeId="0" xr:uid="{00000000-0006-0000-0000-000025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Stetson University. Levantamiento: 2026-03-25 a 2026-04-13. Muestra: 373 (LV). Margen: n.d..
Donalds: 38%; Collins: 6%; Fishback: 5%; Renner: 7%; Otros: 17%; Indecisos: 28%. Los guiones o datos ausentes se conservan como n.d.; no son ceros.</t>
        </r>
      </text>
    </comment>
    <comment ref="T24" authorId="0" shapeId="0" xr:uid="{00000000-0006-0000-0000-000027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Keystone Analytics. Levantamiento: 2026-03-27 a 2026-04-06. Muestra: 795 (LV). Margen: ± 3.5%.
Donalds: 43%; Collins: n.d.; Fishback: 19%; Renner: n.d.; Otros: n.d.; Indecisos: 38%. Los guiones o datos ausentes se conservan como n.d.; no son ceros.</t>
        </r>
      </text>
    </comment>
    <comment ref="U24" authorId="0" shapeId="0" xr:uid="{00000000-0006-0000-0000-000029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Tarrance Group (R). Levantamiento: 2026-03-30 a 2026-04-02. Muestra: 466 (LV). Margen: ± 4.7%.
Donalds: 50%; Collins: 6%; Fishback: 9%; Renner: 3%; Otros: n.d.; Indecisos: 32%. Los guiones o datos ausentes se conservan como n.d.; no son ceros.</t>
        </r>
      </text>
    </comment>
    <comment ref="V24" authorId="0" shapeId="0" xr:uid="{00000000-0006-0000-0000-00002B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Emerson College. Levantamiento: 2026-03-29 a 2026-03-31. Muestra: 465 (LV). Margen: ± 4.5%.
Donalds: 46%; Collins: 4%; Fishback: 4%; Renner: 3%; Otros: 4%; Indecisos: 39%. Los guiones o datos ausentes se conservan como n.d.; no son ceros.</t>
        </r>
      </text>
    </comment>
    <comment ref="W24" authorId="0" shapeId="0" xr:uid="{00000000-0006-0000-0000-00002D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The American Promise. Levantamiento: 2026-02-23 a 2026-02-26. Muestra: 800 (LV). Margen: ± 3.5%.
Donalds: 44%; Collins: 4%; Fishback: 5%; Renner: 2%; Otros: n.d.; Indecisos: 45%. Los guiones o datos ausentes se conservan como n.d.; no son ceros.</t>
        </r>
      </text>
    </comment>
    <comment ref="X24" authorId="0" shapeId="0" xr:uid="{00000000-0006-0000-0000-00002F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University of North Florida. Levantamiento: 2026-02-16 a 2026-02-20. Muestra: 657 (LV). Margen: ± 4.38%.
Donalds: 31%; Collins: 4%; Fishback: 6%; Renner: 1%; Otros: 6%; Indecisos: 51%. Los guiones o datos ausentes se conservan como n.d.; no son ceros.</t>
        </r>
      </text>
    </comment>
    <comment ref="Y24" authorId="0" shapeId="0" xr:uid="{00000000-0006-0000-0000-000031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Targoz Market Research. Levantamiento: 2026-02-13 a 2026-02-16. Muestra: 401 (RV). Margen: n.d..
Donalds: 33%; Collins: 15%; Fishback: 3%; Renner: 9%; Otros: n.d.; Indecisos: 40%. Los guiones o datos ausentes se conservan como n.d.; no son ceros.</t>
        </r>
      </text>
    </comment>
    <comment ref="Z24" authorId="0" shapeId="0" xr:uid="{00000000-0006-0000-0000-000033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Patriot Polling (R). Levantamiento: 2026-01-19 a 2026-01-29. Muestra: 827 (LV). Margen: ± 4.0%.
Donalds: 37%; Collins: n.d.; Fishback: 23%; Renner: n.d.; Otros: n.d.; Indecisos: 40%. Los guiones o datos ausentes se conservan como n.d.; no son ceros.</t>
        </r>
      </text>
    </comment>
    <comment ref="AA24" authorId="0" shapeId="0" xr:uid="{00000000-0006-0000-0000-000034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Mason-Dixon. Levantamiento: 2026-01-08 a 2026-01-13. Muestra: 400 (RV). Margen: ± 5.0%.
Donalds: 37%; Collins: 7%; Fishback: 3%; Renner: 4%; Otros: n.d.; Indecisos: 49%. Los guiones o datos ausentes se conservan como n.d.; no son ceros.</t>
        </r>
      </text>
    </comment>
    <comment ref="AB24" authorId="0" shapeId="0" xr:uid="{00000000-0006-0000-0000-000035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Fabrizio, Lee &amp; Assoc. (R). Levantamiento: 2026-01-04 a 2026-01-06. Muestra: 600 (LV). Margen: ± 4.0%.
Donalds: 45%; Collins: 6%; Fishback: 4%; Renner: 3%; Otros: n.d.; Indecisos: 41%. Los guiones o datos ausentes se conservan como n.d.; no son ceros.</t>
        </r>
      </text>
    </comment>
    <comment ref="AC24" authorId="0" shapeId="0" xr:uid="{00000000-0006-0000-0000-000036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Public Opinion Strategies (R). Levantamiento: 2025-12-07 a 2025-12-11. Muestra: 700 (RV). Margen: ± 3.7%.
Donalds: 40%; Collins: 13%; Fishback: n.d.; Renner: n.d.; Otros: 9%; Indecisos: 38%. Los guiones o datos ausentes se conservan como n.d.; no son ceros.</t>
        </r>
      </text>
    </comment>
    <comment ref="AD24" authorId="0" shapeId="0" xr:uid="{00000000-0006-0000-0000-000037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The Tyson Group (R). Levantamiento: 2025-12-08 a 2025-12-09. Muestra: 800 (LV). Margen: ± 3.5%.
Donalds: 38%; Collins: 9%; Fishback: 2%; Renner: 1%; Otros: n.d.; Indecisos: 49%. Los guiones o datos ausentes se conservan como n.d.; no son ceros.</t>
        </r>
      </text>
    </comment>
    <comment ref="AE24" authorId="0" shapeId="0" xr:uid="{00000000-0006-0000-0000-000038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The American Promise. Levantamiento: 2025-11-17 a 2025-11-19. Muestra: 800 (LV). Margen: ± 3.5%.
Donalds: 43%; Collins: 1%; Fishback: 0%; Renner: 2%; Otros: n.d.; Indecisos: 54%. Los guiones o datos ausentes se conservan como n.d.; no son ceros.</t>
        </r>
      </text>
    </comment>
    <comment ref="AF24" authorId="0" shapeId="0" xr:uid="{00000000-0006-0000-0000-000039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Victory Insights (R). Levantamiento: 2025-11-11 a 2025-11-13. Muestra: 600 (LV). Margen: n.d..
Donalds: 45%; Collins: 1%; Fishback: 1%; Renner: 3%; Otros: n.d.; Indecisos: 49%. Los guiones o datos ausentes se conservan como n.d.; no son ceros.</t>
        </r>
      </text>
    </comment>
    <comment ref="AG24" authorId="0" shapeId="0" xr:uid="{00000000-0006-0000-0000-00003A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St. Pete Polls. Levantamiento: 2025-10-13 a 2025-10-15. Muestra: 1,034 (LV). Margen: ± 3.0%.
Donalds: 39%; Collins: 4%; Fishback: n.d.; Renner: 3%; Otros: n.d.; Indecisos: 54%. Los guiones o datos ausentes se conservan como n.d.; no son ceros.</t>
        </r>
      </text>
    </comment>
    <comment ref="AH24" authorId="0" shapeId="0" xr:uid="{00000000-0006-0000-0000-00003B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Targoz Market Research. Levantamiento: 2025-09-16 a 2025-09-18. Muestra: 506 (RV). Margen: n.d..
Donalds: 29%; Collins: n.d.; Fishback: n.d.; Renner: 9%; Otros: n.d.; Indecisos: 62%. Los guiones o datos ausentes se conservan como n.d.; no son ceros.</t>
        </r>
      </text>
    </comment>
    <comment ref="AI24" authorId="0" shapeId="0" xr:uid="{00000000-0006-0000-0000-00003C000000}">
      <text>
        <r>
          <rPr>
            <sz val="10"/>
            <rFont val="Arial"/>
            <family val="2"/>
          </rPr>
          <t>Fuente: Wikipedia, 2026 Florida gubernatorial election, tabla Republican primary polling. https://en.wikipedia.org/wiki/2026_Florida_gubernatorial_election#Polling
Consulta: 09/10/2026.
The American Promise. Levantamiento: 2025-09-04 a 2025-09-05. Muestra: 800 (LV). Margen: ± 3.5%.
Donalds: 40%; Collins: 2%; Fishback: n.d.; Renner: 2%; Otros: n.d.; Indecisos: 54%. Los guiones o datos ausentes se conservan como n.d.; no son ceros.</t>
        </r>
      </text>
    </comment>
    <comment ref="C35" authorId="0" shapeId="0" xr:uid="{00000000-0006-0000-0000-000006000000}">
      <text>
        <r>
          <rPr>
            <sz val="10"/>
            <rFont val="Arial"/>
            <family val="2"/>
          </rPr>
          <t>Fuente: Wikipedia, resultados de la primaria demócrata del 18/08/2026. https://en.wikipedia.org/wiki/2026_Florida_gubernatorial_election#Polling
Consulta: 09/10/2026.
Total: 1,249,352 votos. Jolly 61.0%. Jerry Demings se retiró el 05/06/2026.</t>
        </r>
      </text>
    </comment>
  </commentList>
</comments>
</file>

<file path=xl/sharedStrings.xml><?xml version="1.0" encoding="utf-8"?>
<sst xmlns="http://schemas.openxmlformats.org/spreadsheetml/2006/main" count="486" uniqueCount="161">
  <si>
    <t>2026 Florida Gubernatorial Election — Polls: David Jolly vs. Byron Donalds</t>
  </si>
  <si>
    <t>Encuestas Individuales - Individual Surveys</t>
  </si>
  <si>
    <t>n.d.= dato no disponible</t>
  </si>
  <si>
    <t>Encuestadora</t>
  </si>
  <si>
    <t>St. Pete Polls</t>
  </si>
  <si>
    <t>YouGov</t>
  </si>
  <si>
    <t>James Madison Institute / Targoz</t>
  </si>
  <si>
    <t>Mason-Dixon — NBC 6 / Telemundo</t>
  </si>
  <si>
    <t>Change Research (D)</t>
  </si>
  <si>
    <t>Stetson University</t>
  </si>
  <si>
    <t>Hart Research (D)</t>
  </si>
  <si>
    <t>Targoz Market Research</t>
  </si>
  <si>
    <t>University of North Florida</t>
  </si>
  <si>
    <t>Cherry Communications (R)</t>
  </si>
  <si>
    <t>Echelon Insights</t>
  </si>
  <si>
    <t>MDW Communications (D)</t>
  </si>
  <si>
    <t>Emerson College</t>
  </si>
  <si>
    <t>Bendixen &amp; Amandi (D)</t>
  </si>
  <si>
    <t>AIF Center (R)</t>
  </si>
  <si>
    <t>Victory Insights (R)</t>
  </si>
  <si>
    <t>PROME
(promedio de todas)</t>
  </si>
  <si>
    <t>Survey dates (2025–2026)</t>
  </si>
  <si>
    <t>05–07 oct 2026</t>
  </si>
  <si>
    <t>28 sep–05 oct 2026</t>
  </si>
  <si>
    <t>28 sep–04 oct 2026</t>
  </si>
  <si>
    <t>28 sep–01 oct 2026</t>
  </si>
  <si>
    <t>25–27 sep 2026</t>
  </si>
  <si>
    <t>14–21 sep 2026</t>
  </si>
  <si>
    <t>15–17 sep 2026</t>
  </si>
  <si>
    <t>07–09 sep 2026</t>
  </si>
  <si>
    <t>10–13 ago 2026</t>
  </si>
  <si>
    <t>20–26 jul 2026</t>
  </si>
  <si>
    <t>08–17 jul 2026</t>
  </si>
  <si>
    <t>09–11 jul 2026</t>
  </si>
  <si>
    <t>13–16 may 2026</t>
  </si>
  <si>
    <t>01–09 may 2026</t>
  </si>
  <si>
    <t>15 mar–13 abr 2026</t>
  </si>
  <si>
    <t>03–09 abr 2026</t>
  </si>
  <si>
    <t>27 mar–03 abr 2026</t>
  </si>
  <si>
    <t>29–31 mar 2026</t>
  </si>
  <si>
    <t>21 feb–02 mar 2026</t>
  </si>
  <si>
    <t>13–16 feb 2026</t>
  </si>
  <si>
    <t>15–25 oct 2025</t>
  </si>
  <si>
    <t>16–18 sep 2025</t>
  </si>
  <si>
    <t>07–09 sep 2025</t>
  </si>
  <si>
    <t>25–27 ago 2025</t>
  </si>
  <si>
    <t>07–10 jun 2025</t>
  </si>
  <si>
    <t>David Jolly (Demócrata)</t>
  </si>
  <si>
    <t>Byron Donalds (Republicano)</t>
  </si>
  <si>
    <t>Indecisos / Otros</t>
  </si>
  <si>
    <t>Total (debe dar ~100)</t>
  </si>
  <si>
    <t>Who's in the lead?</t>
  </si>
  <si>
    <t>Aggregators (sites that average many polls)</t>
  </si>
  <si>
    <t>Agregador</t>
  </si>
  <si>
    <t>RealClearPolitics</t>
  </si>
  <si>
    <t>270toWin</t>
  </si>
  <si>
    <t>FiftyPlusOne</t>
  </si>
  <si>
    <t>Period covered (2026)</t>
  </si>
  <si>
    <t>14 sep–07 oct 2026</t>
  </si>
  <si>
    <t>sep–oct 2026 (promedio reciente)</t>
  </si>
  <si>
    <t>08 jul–07 oct 2026</t>
  </si>
  <si>
    <t>3 agregadores</t>
  </si>
  <si>
    <t>Total (should be ~100)</t>
  </si>
  <si>
    <t>Primarias</t>
  </si>
  <si>
    <t>Encuestas de primarias — intención de voto (%)</t>
  </si>
  <si>
    <t>Primaria republicana (cerrada) — 18 de agosto de 2026</t>
  </si>
  <si>
    <t>28–29 jul 2026</t>
  </si>
  <si>
    <t>27–29 jul 2026</t>
  </si>
  <si>
    <t>21–23 jul 2026</t>
  </si>
  <si>
    <t>14–16 jul 2026</t>
  </si>
  <si>
    <t>12–13 jul 2026</t>
  </si>
  <si>
    <t>08–11 jul 2026</t>
  </si>
  <si>
    <t>02–06 jul 2026</t>
  </si>
  <si>
    <t>03–07 jun 2026</t>
  </si>
  <si>
    <t>31 may–03 jun 2026</t>
  </si>
  <si>
    <t>26–30 abr 2026</t>
  </si>
  <si>
    <t>25 mar–13 abr 2026</t>
  </si>
  <si>
    <t>27 mar–06 abr 2026</t>
  </si>
  <si>
    <t>30 mar–02 abr 2026</t>
  </si>
  <si>
    <t>23–26 feb 2026</t>
  </si>
  <si>
    <t>16–20 feb 2026</t>
  </si>
  <si>
    <t>19–29 ene 2026</t>
  </si>
  <si>
    <t>08–13 ene 2026</t>
  </si>
  <si>
    <t>04–06 ene 2026</t>
  </si>
  <si>
    <t>07–11 dic 2025</t>
  </si>
  <si>
    <t>08–09 dic 2025</t>
  </si>
  <si>
    <t>17–19 nov 2025</t>
  </si>
  <si>
    <t>11–13 nov 2025</t>
  </si>
  <si>
    <t>13–15 oct 2025</t>
  </si>
  <si>
    <t>04–05 sep 2025</t>
  </si>
  <si>
    <t>Candidato</t>
  </si>
  <si>
    <t>Partido</t>
  </si>
  <si>
    <t>Votos</t>
  </si>
  <si>
    <t>% del voto</t>
  </si>
  <si>
    <t>Result</t>
  </si>
  <si>
    <t>David J. Wolfson</t>
  </si>
  <si>
    <t>Quantus Insights (R)</t>
  </si>
  <si>
    <t>Listener Group / Political Matrix (R)</t>
  </si>
  <si>
    <t>Fabrizio, Lee &amp; Assoc. (R)</t>
  </si>
  <si>
    <t>Cygnal (R)</t>
  </si>
  <si>
    <t>The Tyson Group (R)</t>
  </si>
  <si>
    <t>McLaughlin &amp; Assoc. (R)</t>
  </si>
  <si>
    <t>Keystone Analytics</t>
  </si>
  <si>
    <t>Tarrance Group (R)</t>
  </si>
  <si>
    <t>The American Promise</t>
  </si>
  <si>
    <t>Patriot Polling (R)</t>
  </si>
  <si>
    <t>Mason-Dixon</t>
  </si>
  <si>
    <t>Public Opinion Strategies (R)</t>
  </si>
  <si>
    <t>Byron Donalds</t>
  </si>
  <si>
    <t>Republicano</t>
  </si>
  <si>
    <t>Ganador: va vs. Jolly</t>
  </si>
  <si>
    <t>Jay Collins</t>
  </si>
  <si>
    <t>2º lugar</t>
  </si>
  <si>
    <t>n.d.</t>
  </si>
  <si>
    <t>James Fishback</t>
  </si>
  <si>
    <t>Eliminado</t>
  </si>
  <si>
    <t>Paul Renner</t>
  </si>
  <si>
    <t>Bobby Williams</t>
  </si>
  <si>
    <t>Rachel Rodriguez</t>
  </si>
  <si>
    <t>Otros (5 candidatos menores)</t>
  </si>
  <si>
    <t>—</t>
  </si>
  <si>
    <t>Eliminados</t>
  </si>
  <si>
    <t>Indecisos</t>
  </si>
  <si>
    <t>Primaria demócrata (cerrada) — 18 de agosto de 2026</t>
  </si>
  <si>
    <t>David Jolly</t>
  </si>
  <si>
    <t>Demócrata</t>
  </si>
  <si>
    <t>Ganador: va vs. Donalds</t>
  </si>
  <si>
    <t>Dayna Marie Foster</t>
  </si>
  <si>
    <t>Dotie Joseph</t>
  </si>
  <si>
    <t>Eliminada</t>
  </si>
  <si>
    <t>Evelyn Castillo-Bach</t>
  </si>
  <si>
    <t>Thomas Eloy Fernandez</t>
  </si>
  <si>
    <t>Stephann Norman</t>
  </si>
  <si>
    <t>FLORIDA | Mercados de predicción y apuestas</t>
  </si>
  <si>
    <t>Fecha de referencia</t>
  </si>
  <si>
    <t>Mercado</t>
  </si>
  <si>
    <t>Probabilidad implícita</t>
  </si>
  <si>
    <t>Fuente</t>
  </si>
  <si>
    <t>Polymarket</t>
  </si>
  <si>
    <t>Lines.com (página fechada 21/04/2026) — lines.com/prediction-markets/elections/florida-governor-winner-2026</t>
  </si>
  <si>
    <t>Lines.com (página fechada 21/04/2026)</t>
  </si>
  <si>
    <t>Mercados (Octagon AI)</t>
  </si>
  <si>
    <t>Octagon AI, actualizado 09/09/2026 (no especifica plataforma) — octagonai.co/markets/elections/us-elections/florida-governor-winner</t>
  </si>
  <si>
    <t>Octagon AI, actualizado 09/09/2026</t>
  </si>
  <si>
    <t>Kalshi</t>
  </si>
  <si>
    <t>kalshi.com/markets/govpartyfl (consulta 09/10/2026). PredictionEdge reportó 79% a las 12:28 UTC.</t>
  </si>
  <si>
    <t>kalshi.com/markets/govpartyfl (consulta 09/10/2026)</t>
  </si>
  <si>
    <t>polymarket.com/event/florida-governor-winner-2026 (consulta 09/10/2026)</t>
  </si>
  <si>
    <t>Inicio de levantamiento</t>
  </si>
  <si>
    <t>Bloque 1: Primaria republicana</t>
  </si>
  <si>
    <t>Fin de levantamiento</t>
  </si>
  <si>
    <t>Población / fuente</t>
  </si>
  <si>
    <t>Votantes probables</t>
  </si>
  <si>
    <t>Registrados</t>
  </si>
  <si>
    <t>Byron Donalds (R)</t>
  </si>
  <si>
    <t>Jay Collins (R)</t>
  </si>
  <si>
    <t>James Fishback (R)</t>
  </si>
  <si>
    <t>Paul Renner (R)</t>
  </si>
  <si>
    <t>Otros</t>
  </si>
  <si>
    <t>Bloque 2: Elección general (Jolly vs. Donalds)</t>
  </si>
  <si>
    <t>David Jolly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</si>
</sst>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encuestas&quot;"/>
    <numFmt numFmtId="165" formatCode="0.0"/>
    <numFmt numFmtId="166" formatCode="0.0%"/>
    <numFmt numFmtId="167" formatCode="m/d/yyyy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2A44"/>
      <name val="Arial"/>
      <family val="2"/>
      <charset val="1"/>
    </font>
    <font>
      <sz val="10"/>
      <color rgb="FF1F2A44"/>
      <name val="Arial"/>
      <family val="2"/>
      <charset val="1"/>
    </font>
    <font>
      <sz val="9"/>
      <color rgb="FF555555"/>
      <name val="Arial"/>
      <family val="2"/>
      <charset val="1"/>
    </font>
    <font>
      <b/>
      <sz val="10"/>
      <color rgb="FF1F5FBF"/>
      <name val="Arial"/>
      <family val="2"/>
      <charset val="1"/>
    </font>
    <font>
      <b/>
      <sz val="11"/>
      <color rgb="FF1F5FBF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1"/>
      <color rgb="FFC0392B"/>
      <name val="Arial"/>
      <family val="2"/>
      <charset val="1"/>
    </font>
    <font>
      <b/>
      <sz val="11"/>
      <color rgb="FF1F2A44"/>
      <name val="Arial"/>
      <family val="2"/>
      <charset val="1"/>
    </font>
    <font>
      <sz val="9"/>
      <color rgb="FF667085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1F2A44"/>
      <name val="Arial"/>
      <family val="2"/>
      <charset val="1"/>
    </font>
    <font>
      <sz val="10"/>
      <color rgb="FFC0392B"/>
      <name val="Arial"/>
      <charset val="1"/>
    </font>
    <font>
      <sz val="10"/>
      <color rgb="FF1F5FBF"/>
      <name val="Arial"/>
      <family val="2"/>
      <charset val="1"/>
    </font>
    <font>
      <i/>
      <sz val="10"/>
      <color rgb="FF475569"/>
      <name val="Arial"/>
      <charset val="1"/>
    </font>
    <font>
      <sz val="10"/>
      <name val="Arial"/>
      <family val="2"/>
    </font>
    <font>
      <b/>
      <sz val="13"/>
      <color rgb="FFFFFFFF"/>
      <name val="Aptos"/>
      <family val="2"/>
      <charset val="1"/>
    </font>
    <font>
      <b/>
      <sz val="11"/>
      <color rgb="FFFFFFFF"/>
      <name val="Aptos"/>
      <family val="2"/>
      <charset val="1"/>
    </font>
    <font>
      <sz val="11"/>
      <color theme="1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142D4E"/>
      </patternFill>
    </fill>
    <fill>
      <patternFill patternType="solid">
        <fgColor rgb="FFF4B942"/>
        <bgColor rgb="FFFF9900"/>
      </patternFill>
    </fill>
    <fill>
      <patternFill patternType="solid">
        <fgColor rgb="FFF2F4F7"/>
        <bgColor rgb="FFE7EFFC"/>
      </patternFill>
    </fill>
    <fill>
      <patternFill patternType="solid">
        <fgColor rgb="FFFFF4D6"/>
        <bgColor rgb="FFFCE8E6"/>
      </patternFill>
    </fill>
    <fill>
      <patternFill patternType="solid">
        <fgColor rgb="FFDCE8FA"/>
        <bgColor rgb="FFDCE3ED"/>
      </patternFill>
    </fill>
    <fill>
      <patternFill patternType="solid">
        <fgColor rgb="FFFADBD8"/>
        <bgColor rgb="FFFCE8E6"/>
      </patternFill>
    </fill>
    <fill>
      <patternFill patternType="solid">
        <fgColor rgb="FF142D4E"/>
        <bgColor rgb="FF1F2A44"/>
      </patternFill>
    </fill>
    <fill>
      <patternFill patternType="solid">
        <fgColor rgb="FFFCE8E6"/>
        <bgColor rgb="FFFFF4D6"/>
      </patternFill>
    </fill>
    <fill>
      <patternFill patternType="solid">
        <fgColor rgb="FFE7EFFC"/>
        <bgColor rgb="FFF2F4F7"/>
      </patternFill>
    </fill>
  </fills>
  <borders count="9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F4B942"/>
      </bottom>
      <diagonal/>
    </border>
    <border>
      <left/>
      <right style="thin">
        <color rgb="FFDCE3ED"/>
      </right>
      <top/>
      <bottom style="thin">
        <color rgb="FFDCE3ED"/>
      </bottom>
      <diagonal/>
    </border>
    <border>
      <left style="thin">
        <color rgb="FFDCE3ED"/>
      </left>
      <right style="thin">
        <color rgb="FFDCE3ED"/>
      </right>
      <top/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 style="thin">
        <color rgb="FFDCE3ED"/>
      </bottom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0" fillId="8" borderId="0" xfId="0" applyFont="1" applyFill="1" applyAlignment="1">
      <alignment vertical="center" wrapText="1"/>
    </xf>
    <xf numFmtId="0" fontId="15" fillId="0" borderId="2" xfId="0" applyFont="1" applyBorder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5" fontId="12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65" fontId="13" fillId="5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7" fillId="5" borderId="1" xfId="0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8" fillId="0" borderId="0" xfId="0" applyFont="1"/>
    <xf numFmtId="0" fontId="21" fillId="8" borderId="3" xfId="0" applyFont="1" applyFill="1" applyBorder="1" applyAlignment="1">
      <alignment vertical="center" wrapText="1"/>
    </xf>
    <xf numFmtId="0" fontId="21" fillId="8" borderId="4" xfId="0" applyFont="1" applyFill="1" applyBorder="1" applyAlignment="1">
      <alignment vertical="center" wrapText="1"/>
    </xf>
    <xf numFmtId="167" fontId="22" fillId="9" borderId="5" xfId="0" applyNumberFormat="1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vertical="center" wrapText="1"/>
    </xf>
    <xf numFmtId="166" fontId="22" fillId="9" borderId="6" xfId="0" applyNumberFormat="1" applyFont="1" applyFill="1" applyBorder="1" applyAlignment="1">
      <alignment horizontal="center" vertical="center" wrapText="1"/>
    </xf>
    <xf numFmtId="166" fontId="22" fillId="9" borderId="6" xfId="0" applyNumberFormat="1" applyFont="1" applyFill="1" applyBorder="1" applyAlignment="1">
      <alignment vertical="center" wrapText="1"/>
    </xf>
    <xf numFmtId="167" fontId="22" fillId="10" borderId="5" xfId="0" applyNumberFormat="1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vertical="center" wrapText="1"/>
    </xf>
    <xf numFmtId="166" fontId="22" fillId="10" borderId="6" xfId="0" applyNumberFormat="1" applyFont="1" applyFill="1" applyBorder="1" applyAlignment="1">
      <alignment horizontal="center" vertical="center" wrapText="1"/>
    </xf>
    <xf numFmtId="166" fontId="22" fillId="10" borderId="6" xfId="0" applyNumberFormat="1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167" fontId="22" fillId="0" borderId="6" xfId="0" applyNumberFormat="1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2" fillId="9" borderId="5" xfId="0" applyFont="1" applyFill="1" applyBorder="1" applyAlignment="1">
      <alignment vertical="center" wrapText="1"/>
    </xf>
    <xf numFmtId="9" fontId="22" fillId="9" borderId="6" xfId="0" applyNumberFormat="1" applyFont="1" applyFill="1" applyBorder="1" applyAlignment="1">
      <alignment horizontal="right" vertical="center" wrapText="1"/>
    </xf>
    <xf numFmtId="166" fontId="22" fillId="9" borderId="6" xfId="0" applyNumberFormat="1" applyFont="1" applyFill="1" applyBorder="1" applyAlignment="1">
      <alignment horizontal="right" vertical="center" wrapText="1"/>
    </xf>
    <xf numFmtId="0" fontId="22" fillId="0" borderId="7" xfId="0" applyFont="1" applyBorder="1" applyAlignment="1">
      <alignment vertical="center" wrapText="1"/>
    </xf>
    <xf numFmtId="9" fontId="22" fillId="0" borderId="8" xfId="0" applyNumberFormat="1" applyFont="1" applyBorder="1" applyAlignment="1">
      <alignment horizontal="right" vertical="center" wrapText="1"/>
    </xf>
    <xf numFmtId="166" fontId="22" fillId="0" borderId="8" xfId="0" applyNumberFormat="1" applyFont="1" applyBorder="1" applyAlignment="1">
      <alignment horizontal="right" vertical="center" wrapText="1"/>
    </xf>
    <xf numFmtId="0" fontId="22" fillId="10" borderId="5" xfId="0" applyFont="1" applyFill="1" applyBorder="1" applyAlignment="1">
      <alignment vertical="center" wrapText="1"/>
    </xf>
    <xf numFmtId="166" fontId="22" fillId="10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8">
    <dxf>
      <font>
        <color rgb="FFC0392B"/>
      </font>
    </dxf>
    <dxf>
      <font>
        <color rgb="FF1F5FBF"/>
      </font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  <dxf>
      <font>
        <color rgb="FFC0392B"/>
      </font>
    </dxf>
    <dxf>
      <font>
        <color rgb="FF1F5FBF"/>
      </font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4D6"/>
      <rgbColor rgb="FFE7EFFC"/>
      <rgbColor rgb="FF660066"/>
      <rgbColor rgb="FFFF8080"/>
      <rgbColor rgb="FF1F5FB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A"/>
      <rgbColor rgb="FFDCE3ED"/>
      <rgbColor rgb="FFFCE8E6"/>
      <rgbColor rgb="FF99CCFF"/>
      <rgbColor rgb="FFFF99CC"/>
      <rgbColor rgb="FFCC99FF"/>
      <rgbColor rgb="FFFADBD8"/>
      <rgbColor rgb="FF3366FF"/>
      <rgbColor rgb="FF33CCCC"/>
      <rgbColor rgb="FF99CC00"/>
      <rgbColor rgb="FFF4B942"/>
      <rgbColor rgb="FFFF9900"/>
      <rgbColor rgb="FFFF6600"/>
      <rgbColor rgb="FF667085"/>
      <rgbColor rgb="FF969696"/>
      <rgbColor rgb="FF142D4E"/>
      <rgbColor rgb="FF339966"/>
      <rgbColor rgb="FF003300"/>
      <rgbColor rgb="FF555555"/>
      <rgbColor rgb="FFC0392B"/>
      <rgbColor rgb="FF993366"/>
      <rgbColor rgb="FF47556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"/>
  <sheetViews>
    <sheetView showGridLines="0" tabSelected="1" topLeftCell="A2" zoomScaleNormal="100" workbookViewId="0">
      <pane xSplit="1" topLeftCell="B1" activePane="topRight" state="frozen"/>
      <selection activeCell="A2" sqref="A2"/>
      <selection pane="topRight" activeCell="F5" sqref="F5"/>
    </sheetView>
  </sheetViews>
  <sheetFormatPr baseColWidth="10" defaultColWidth="8.7109375" defaultRowHeight="15" x14ac:dyDescent="0.25"/>
  <cols>
    <col min="1" max="1" width="42.28515625" customWidth="1"/>
    <col min="2" max="4" width="15" customWidth="1"/>
    <col min="5" max="5" width="19" customWidth="1"/>
    <col min="6" max="27" width="15" customWidth="1"/>
  </cols>
  <sheetData>
    <row r="1" spans="1:27" ht="31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7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t="s">
        <v>2</v>
      </c>
    </row>
    <row r="3" spans="1:27" ht="54" customHeight="1" x14ac:dyDescent="0.2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4</v>
      </c>
      <c r="I3" s="6" t="s">
        <v>8</v>
      </c>
      <c r="J3" s="6" t="s">
        <v>10</v>
      </c>
      <c r="K3" s="6" t="s">
        <v>11</v>
      </c>
      <c r="L3" s="6" t="s">
        <v>12</v>
      </c>
      <c r="M3" s="6" t="s">
        <v>8</v>
      </c>
      <c r="N3" s="6" t="s">
        <v>8</v>
      </c>
      <c r="O3" s="6" t="s">
        <v>13</v>
      </c>
      <c r="P3" s="6" t="s">
        <v>9</v>
      </c>
      <c r="Q3" s="6" t="s">
        <v>14</v>
      </c>
      <c r="R3" s="6" t="s">
        <v>15</v>
      </c>
      <c r="S3" s="6" t="s">
        <v>16</v>
      </c>
      <c r="T3" s="6" t="s">
        <v>12</v>
      </c>
      <c r="U3" s="6" t="s">
        <v>11</v>
      </c>
      <c r="V3" s="6" t="s">
        <v>12</v>
      </c>
      <c r="W3" s="6" t="s">
        <v>11</v>
      </c>
      <c r="X3" s="6" t="s">
        <v>17</v>
      </c>
      <c r="Y3" s="6" t="s">
        <v>18</v>
      </c>
      <c r="Z3" s="6" t="s">
        <v>19</v>
      </c>
      <c r="AA3" s="7" t="s">
        <v>20</v>
      </c>
    </row>
    <row r="4" spans="1:27" ht="24" customHeight="1" x14ac:dyDescent="0.25">
      <c r="A4" s="8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  <c r="Q4" s="9" t="s">
        <v>37</v>
      </c>
      <c r="R4" s="9" t="s">
        <v>38</v>
      </c>
      <c r="S4" s="9" t="s">
        <v>39</v>
      </c>
      <c r="T4" s="9" t="s">
        <v>40</v>
      </c>
      <c r="U4" s="9" t="s">
        <v>41</v>
      </c>
      <c r="V4" s="9" t="s">
        <v>42</v>
      </c>
      <c r="W4" s="9" t="s">
        <v>43</v>
      </c>
      <c r="X4" s="9" t="s">
        <v>44</v>
      </c>
      <c r="Y4" s="9" t="s">
        <v>45</v>
      </c>
      <c r="Z4" s="9" t="s">
        <v>46</v>
      </c>
      <c r="AA4" s="10">
        <f>COUNT(B5:Z5)</f>
        <v>25</v>
      </c>
    </row>
    <row r="5" spans="1:27" x14ac:dyDescent="0.25">
      <c r="A5" s="11" t="s">
        <v>47</v>
      </c>
      <c r="B5" s="12">
        <v>44.6</v>
      </c>
      <c r="C5" s="13">
        <v>45</v>
      </c>
      <c r="D5" s="13">
        <v>42</v>
      </c>
      <c r="E5" s="13">
        <v>41</v>
      </c>
      <c r="F5" s="13">
        <v>48</v>
      </c>
      <c r="G5" s="13">
        <v>39</v>
      </c>
      <c r="H5" s="12">
        <v>43.4</v>
      </c>
      <c r="I5" s="13">
        <v>47</v>
      </c>
      <c r="J5" s="13">
        <v>46</v>
      </c>
      <c r="K5" s="13">
        <v>38</v>
      </c>
      <c r="L5" s="13">
        <v>41</v>
      </c>
      <c r="M5" s="13">
        <v>37</v>
      </c>
      <c r="N5" s="13">
        <v>46</v>
      </c>
      <c r="O5" s="13">
        <v>39</v>
      </c>
      <c r="P5" s="13">
        <v>40</v>
      </c>
      <c r="Q5" s="13">
        <v>43</v>
      </c>
      <c r="R5" s="12">
        <v>40.5</v>
      </c>
      <c r="S5" s="12">
        <v>39.4</v>
      </c>
      <c r="T5" s="13">
        <v>36</v>
      </c>
      <c r="U5" s="13">
        <v>36</v>
      </c>
      <c r="V5" s="13">
        <v>34</v>
      </c>
      <c r="W5" s="13">
        <v>32</v>
      </c>
      <c r="X5" s="13">
        <v>41</v>
      </c>
      <c r="Y5" s="13">
        <v>41</v>
      </c>
      <c r="Z5" s="13">
        <v>31</v>
      </c>
      <c r="AA5" s="14">
        <f>AVERAGE(B5:Z5)</f>
        <v>40.436</v>
      </c>
    </row>
    <row r="6" spans="1:27" x14ac:dyDescent="0.25">
      <c r="A6" s="15" t="s">
        <v>48</v>
      </c>
      <c r="B6" s="12">
        <v>44.7</v>
      </c>
      <c r="C6" s="13">
        <v>47</v>
      </c>
      <c r="D6" s="13">
        <v>52</v>
      </c>
      <c r="E6" s="13">
        <v>48</v>
      </c>
      <c r="F6" s="13">
        <v>46</v>
      </c>
      <c r="G6" s="13">
        <v>51</v>
      </c>
      <c r="H6" s="12">
        <v>43.5</v>
      </c>
      <c r="I6" s="13">
        <v>44</v>
      </c>
      <c r="J6" s="13">
        <v>45</v>
      </c>
      <c r="K6" s="13">
        <v>45</v>
      </c>
      <c r="L6" s="13">
        <v>46</v>
      </c>
      <c r="M6" s="13">
        <v>37</v>
      </c>
      <c r="N6" s="13">
        <v>42</v>
      </c>
      <c r="O6" s="13">
        <v>47</v>
      </c>
      <c r="P6" s="13">
        <v>47</v>
      </c>
      <c r="Q6" s="13">
        <v>49</v>
      </c>
      <c r="R6" s="12">
        <v>41.2</v>
      </c>
      <c r="S6" s="12">
        <v>44.2</v>
      </c>
      <c r="T6" s="13">
        <v>42</v>
      </c>
      <c r="U6" s="13">
        <v>41</v>
      </c>
      <c r="V6" s="13">
        <v>45</v>
      </c>
      <c r="W6" s="13">
        <v>36</v>
      </c>
      <c r="X6" s="13">
        <v>40</v>
      </c>
      <c r="Y6" s="13">
        <v>49</v>
      </c>
      <c r="Z6" s="13">
        <v>37</v>
      </c>
      <c r="AA6" s="16">
        <f>AVERAGE(B6:Z6)</f>
        <v>44.384000000000007</v>
      </c>
    </row>
    <row r="7" spans="1:27" x14ac:dyDescent="0.25">
      <c r="A7" s="8" t="s">
        <v>49</v>
      </c>
      <c r="B7" s="12">
        <f t="shared" ref="B7:Z7" si="0">ROUND(100-B5-B6,1)</f>
        <v>10.7</v>
      </c>
      <c r="C7" s="13">
        <f t="shared" si="0"/>
        <v>8</v>
      </c>
      <c r="D7" s="13">
        <f t="shared" si="0"/>
        <v>6</v>
      </c>
      <c r="E7" s="13">
        <f t="shared" si="0"/>
        <v>11</v>
      </c>
      <c r="F7" s="13">
        <f t="shared" si="0"/>
        <v>6</v>
      </c>
      <c r="G7" s="13">
        <f t="shared" si="0"/>
        <v>10</v>
      </c>
      <c r="H7" s="12">
        <f t="shared" si="0"/>
        <v>13.1</v>
      </c>
      <c r="I7" s="13">
        <f t="shared" si="0"/>
        <v>9</v>
      </c>
      <c r="J7" s="13">
        <f t="shared" si="0"/>
        <v>9</v>
      </c>
      <c r="K7" s="13">
        <f t="shared" si="0"/>
        <v>17</v>
      </c>
      <c r="L7" s="13">
        <f t="shared" si="0"/>
        <v>13</v>
      </c>
      <c r="M7" s="13">
        <f t="shared" si="0"/>
        <v>26</v>
      </c>
      <c r="N7" s="13">
        <f t="shared" si="0"/>
        <v>12</v>
      </c>
      <c r="O7" s="13">
        <f t="shared" si="0"/>
        <v>14</v>
      </c>
      <c r="P7" s="13">
        <f t="shared" si="0"/>
        <v>13</v>
      </c>
      <c r="Q7" s="13">
        <f t="shared" si="0"/>
        <v>8</v>
      </c>
      <c r="R7" s="12">
        <f t="shared" si="0"/>
        <v>18.3</v>
      </c>
      <c r="S7" s="12">
        <f t="shared" si="0"/>
        <v>16.399999999999999</v>
      </c>
      <c r="T7" s="13">
        <f t="shared" si="0"/>
        <v>22</v>
      </c>
      <c r="U7" s="13">
        <f t="shared" si="0"/>
        <v>23</v>
      </c>
      <c r="V7" s="13">
        <f t="shared" si="0"/>
        <v>21</v>
      </c>
      <c r="W7" s="13">
        <f t="shared" si="0"/>
        <v>32</v>
      </c>
      <c r="X7" s="13">
        <f t="shared" si="0"/>
        <v>19</v>
      </c>
      <c r="Y7" s="13">
        <f t="shared" si="0"/>
        <v>10</v>
      </c>
      <c r="Z7" s="13">
        <f t="shared" si="0"/>
        <v>32</v>
      </c>
      <c r="AA7" s="17">
        <f>100-AA5-AA6</f>
        <v>15.179999999999993</v>
      </c>
    </row>
    <row r="8" spans="1:27" x14ac:dyDescent="0.25">
      <c r="A8" s="18" t="s">
        <v>50</v>
      </c>
      <c r="B8" s="19">
        <f t="shared" ref="B8:AA8" si="1">SUM(B5:B7)</f>
        <v>100.00000000000001</v>
      </c>
      <c r="C8" s="19">
        <f t="shared" si="1"/>
        <v>100</v>
      </c>
      <c r="D8" s="19">
        <f t="shared" si="1"/>
        <v>100</v>
      </c>
      <c r="E8" s="19">
        <f t="shared" si="1"/>
        <v>100</v>
      </c>
      <c r="F8" s="19">
        <f t="shared" si="1"/>
        <v>100</v>
      </c>
      <c r="G8" s="19">
        <f t="shared" si="1"/>
        <v>100</v>
      </c>
      <c r="H8" s="19">
        <f t="shared" si="1"/>
        <v>100</v>
      </c>
      <c r="I8" s="19">
        <f t="shared" si="1"/>
        <v>100</v>
      </c>
      <c r="J8" s="19">
        <f t="shared" si="1"/>
        <v>100</v>
      </c>
      <c r="K8" s="19">
        <f t="shared" si="1"/>
        <v>100</v>
      </c>
      <c r="L8" s="19">
        <f t="shared" si="1"/>
        <v>100</v>
      </c>
      <c r="M8" s="19">
        <f t="shared" si="1"/>
        <v>100</v>
      </c>
      <c r="N8" s="19">
        <f t="shared" si="1"/>
        <v>100</v>
      </c>
      <c r="O8" s="19">
        <f t="shared" si="1"/>
        <v>100</v>
      </c>
      <c r="P8" s="19">
        <f t="shared" si="1"/>
        <v>100</v>
      </c>
      <c r="Q8" s="19">
        <f t="shared" si="1"/>
        <v>100</v>
      </c>
      <c r="R8" s="19">
        <f t="shared" si="1"/>
        <v>100</v>
      </c>
      <c r="S8" s="19">
        <f t="shared" si="1"/>
        <v>100</v>
      </c>
      <c r="T8" s="19">
        <f t="shared" si="1"/>
        <v>100</v>
      </c>
      <c r="U8" s="19">
        <f t="shared" si="1"/>
        <v>100</v>
      </c>
      <c r="V8" s="19">
        <f t="shared" si="1"/>
        <v>100</v>
      </c>
      <c r="W8" s="19">
        <f t="shared" si="1"/>
        <v>100</v>
      </c>
      <c r="X8" s="19">
        <f t="shared" si="1"/>
        <v>100</v>
      </c>
      <c r="Y8" s="19">
        <f t="shared" si="1"/>
        <v>100</v>
      </c>
      <c r="Z8" s="19">
        <f t="shared" si="1"/>
        <v>100</v>
      </c>
      <c r="AA8" s="20">
        <f t="shared" si="1"/>
        <v>100</v>
      </c>
    </row>
    <row r="9" spans="1:27" x14ac:dyDescent="0.25">
      <c r="A9" s="18" t="s">
        <v>51</v>
      </c>
      <c r="B9" s="21" t="str">
        <f t="shared" ref="B9:Z9" si="2">IF(ROUND(B5,1)=ROUND(B6,1),"Empate",IF(B5&gt;B6,"Jolly +","Donalds +")&amp;TEXT(ABS(B5-B6),IF(ABS(B5-B6)=INT(ABS(B5-B6)),"0","0.0")))</f>
        <v>Donalds +0.1</v>
      </c>
      <c r="C9" s="21" t="str">
        <f t="shared" si="2"/>
        <v>Donalds +2</v>
      </c>
      <c r="D9" s="21" t="str">
        <f t="shared" si="2"/>
        <v>Donalds +10</v>
      </c>
      <c r="E9" s="21" t="str">
        <f t="shared" si="2"/>
        <v>Donalds +7</v>
      </c>
      <c r="F9" s="21" t="str">
        <f t="shared" si="2"/>
        <v>Jolly +2</v>
      </c>
      <c r="G9" s="21" t="str">
        <f t="shared" si="2"/>
        <v>Donalds +12</v>
      </c>
      <c r="H9" s="21" t="str">
        <f t="shared" si="2"/>
        <v>Donalds +0.1</v>
      </c>
      <c r="I9" s="21" t="str">
        <f t="shared" si="2"/>
        <v>Jolly +3</v>
      </c>
      <c r="J9" s="21" t="str">
        <f t="shared" si="2"/>
        <v>Jolly +1</v>
      </c>
      <c r="K9" s="21" t="str">
        <f t="shared" si="2"/>
        <v>Donalds +7</v>
      </c>
      <c r="L9" s="21" t="str">
        <f t="shared" si="2"/>
        <v>Donalds +5</v>
      </c>
      <c r="M9" s="21" t="str">
        <f t="shared" si="2"/>
        <v>Empate</v>
      </c>
      <c r="N9" s="21" t="str">
        <f t="shared" si="2"/>
        <v>Jolly +4</v>
      </c>
      <c r="O9" s="21" t="str">
        <f t="shared" si="2"/>
        <v>Donalds +8</v>
      </c>
      <c r="P9" s="21" t="str">
        <f t="shared" si="2"/>
        <v>Donalds +7</v>
      </c>
      <c r="Q9" s="21" t="str">
        <f t="shared" si="2"/>
        <v>Donalds +6</v>
      </c>
      <c r="R9" s="21" t="str">
        <f t="shared" si="2"/>
        <v>Donalds +0.7</v>
      </c>
      <c r="S9" s="21" t="str">
        <f t="shared" si="2"/>
        <v>Donalds +4.8</v>
      </c>
      <c r="T9" s="21" t="str">
        <f t="shared" si="2"/>
        <v>Donalds +6</v>
      </c>
      <c r="U9" s="21" t="str">
        <f t="shared" si="2"/>
        <v>Donalds +5</v>
      </c>
      <c r="V9" s="21" t="str">
        <f t="shared" si="2"/>
        <v>Donalds +11</v>
      </c>
      <c r="W9" s="21" t="str">
        <f t="shared" si="2"/>
        <v>Donalds +4</v>
      </c>
      <c r="X9" s="21" t="str">
        <f t="shared" si="2"/>
        <v>Jolly +1</v>
      </c>
      <c r="Y9" s="21" t="str">
        <f t="shared" si="2"/>
        <v>Donalds +8</v>
      </c>
      <c r="Z9" s="21" t="str">
        <f t="shared" si="2"/>
        <v>Donalds +6</v>
      </c>
      <c r="AA9" s="22" t="str">
        <f>IF(ROUND(AA5,1)=ROUND(AA6,1),"Empate",IF(AA5&gt;AA6,"Jolly +","Donalds +")&amp;TEXT(ABS(AA5-AA6),"0.0"))</f>
        <v>Donalds +3.9</v>
      </c>
    </row>
    <row r="12" spans="1:27" ht="17.25" customHeight="1" x14ac:dyDescent="0.25">
      <c r="A12" s="23" t="s">
        <v>52</v>
      </c>
    </row>
    <row r="13" spans="1:27" ht="54" customHeight="1" x14ac:dyDescent="0.25">
      <c r="A13" s="5" t="s">
        <v>53</v>
      </c>
      <c r="B13" s="6" t="s">
        <v>54</v>
      </c>
      <c r="C13" s="6" t="s">
        <v>55</v>
      </c>
      <c r="D13" s="6" t="s">
        <v>56</v>
      </c>
      <c r="E13" s="7" t="s">
        <v>20</v>
      </c>
    </row>
    <row r="14" spans="1:27" ht="36" customHeight="1" x14ac:dyDescent="0.25">
      <c r="A14" s="8" t="s">
        <v>57</v>
      </c>
      <c r="B14" s="9" t="s">
        <v>58</v>
      </c>
      <c r="C14" s="9" t="s">
        <v>59</v>
      </c>
      <c r="D14" s="9" t="s">
        <v>60</v>
      </c>
      <c r="E14" s="24" t="s">
        <v>61</v>
      </c>
    </row>
    <row r="15" spans="1:27" x14ac:dyDescent="0.25">
      <c r="A15" s="11" t="s">
        <v>47</v>
      </c>
      <c r="B15" s="12">
        <v>42.5</v>
      </c>
      <c r="C15" s="12">
        <v>43.3</v>
      </c>
      <c r="D15" s="12">
        <v>42.2</v>
      </c>
      <c r="E15" s="14">
        <f>AVERAGE(B15:D15)</f>
        <v>42.666666666666664</v>
      </c>
    </row>
    <row r="16" spans="1:27" x14ac:dyDescent="0.25">
      <c r="A16" s="15" t="s">
        <v>48</v>
      </c>
      <c r="B16" s="12">
        <v>47.8</v>
      </c>
      <c r="C16" s="12">
        <v>47</v>
      </c>
      <c r="D16" s="12">
        <v>44.8</v>
      </c>
      <c r="E16" s="16">
        <f>AVERAGE(B16:D16)</f>
        <v>46.533333333333331</v>
      </c>
    </row>
    <row r="17" spans="1:35" x14ac:dyDescent="0.25">
      <c r="A17" s="8" t="s">
        <v>49</v>
      </c>
      <c r="B17" s="12">
        <f>ROUND(100-B15-B16,1)</f>
        <v>9.6999999999999993</v>
      </c>
      <c r="C17" s="12">
        <f>ROUND(100-C15-C16,1)</f>
        <v>9.6999999999999993</v>
      </c>
      <c r="D17" s="12">
        <f>ROUND(100-D15-D16,1)</f>
        <v>13</v>
      </c>
      <c r="E17" s="17">
        <f>100-E15-E16</f>
        <v>10.800000000000004</v>
      </c>
    </row>
    <row r="18" spans="1:35" x14ac:dyDescent="0.25">
      <c r="A18" s="18" t="s">
        <v>62</v>
      </c>
      <c r="B18" s="25">
        <f>SUM(B15:B17)</f>
        <v>100</v>
      </c>
      <c r="C18" s="25">
        <f>SUM(C15:C17)</f>
        <v>100</v>
      </c>
      <c r="D18" s="25">
        <f>SUM(D15:D17)</f>
        <v>100</v>
      </c>
      <c r="E18" s="20">
        <f>SUM(E15:E17)</f>
        <v>100</v>
      </c>
    </row>
    <row r="19" spans="1:35" x14ac:dyDescent="0.25">
      <c r="A19" s="18" t="s">
        <v>51</v>
      </c>
      <c r="B19" s="21" t="str">
        <f>IF(ROUND(B15,1)=ROUND(B16,1),"Empate",IF(B15&gt;B16,"Jolly +","Donalds +")&amp;TEXT(ABS(B15-B16),"0.0"))</f>
        <v>Donalds +5.3</v>
      </c>
      <c r="C19" s="21" t="str">
        <f>IF(ROUND(C15,1)=ROUND(C16,1),"Empate",IF(C15&gt;C16,"Jolly +","Donalds +")&amp;TEXT(ABS(C15-C16),"0.0"))</f>
        <v>Donalds +3.7</v>
      </c>
      <c r="D19" s="21" t="str">
        <f>IF(ROUND(D15,1)=ROUND(D16,1),"Empate",IF(D15&gt;D16,"Jolly +","Donalds +")&amp;TEXT(ABS(D15-D16),"0.0"))</f>
        <v>Donalds +2.6</v>
      </c>
      <c r="E19" s="22" t="str">
        <f>IF(ROUND(E15,1)=ROUND(E16,1),"Empate",IF(E15&gt;E16,"Jolly +","Donalds +")&amp;TEXT(ABS(E15-E16),"0.0"))</f>
        <v>Donalds +3.9</v>
      </c>
    </row>
    <row r="22" spans="1:35" ht="16.5" customHeight="1" x14ac:dyDescent="0.25">
      <c r="A22" s="23" t="s">
        <v>63</v>
      </c>
      <c r="F22" s="2" t="s">
        <v>64</v>
      </c>
      <c r="G22" s="2"/>
      <c r="H22" s="2"/>
      <c r="I22" s="2"/>
      <c r="J22" s="2"/>
      <c r="K22" s="2"/>
      <c r="L22" s="2"/>
      <c r="M22" s="2"/>
    </row>
    <row r="23" spans="1:35" ht="24" customHeight="1" x14ac:dyDescent="0.25">
      <c r="A23" s="26" t="s">
        <v>65</v>
      </c>
      <c r="F23" s="9" t="s">
        <v>66</v>
      </c>
      <c r="G23" s="9" t="s">
        <v>67</v>
      </c>
      <c r="H23" s="9" t="s">
        <v>31</v>
      </c>
      <c r="I23" s="9" t="s">
        <v>68</v>
      </c>
      <c r="J23" s="9" t="s">
        <v>69</v>
      </c>
      <c r="K23" s="9" t="s">
        <v>70</v>
      </c>
      <c r="L23" s="9" t="s">
        <v>33</v>
      </c>
      <c r="M23" s="9" t="s">
        <v>71</v>
      </c>
      <c r="N23" s="9" t="s">
        <v>72</v>
      </c>
      <c r="O23" s="9" t="s">
        <v>73</v>
      </c>
      <c r="P23" s="9" t="s">
        <v>74</v>
      </c>
      <c r="Q23" s="9" t="s">
        <v>34</v>
      </c>
      <c r="R23" s="9" t="s">
        <v>75</v>
      </c>
      <c r="S23" s="9" t="s">
        <v>76</v>
      </c>
      <c r="T23" s="9" t="s">
        <v>77</v>
      </c>
      <c r="U23" s="9" t="s">
        <v>78</v>
      </c>
      <c r="V23" s="9" t="s">
        <v>39</v>
      </c>
      <c r="W23" s="9" t="s">
        <v>79</v>
      </c>
      <c r="X23" s="9" t="s">
        <v>80</v>
      </c>
      <c r="Y23" s="9" t="s">
        <v>41</v>
      </c>
      <c r="Z23" s="9" t="s">
        <v>81</v>
      </c>
      <c r="AA23" s="9" t="s">
        <v>82</v>
      </c>
      <c r="AB23" s="9" t="s">
        <v>83</v>
      </c>
      <c r="AC23" s="9" t="s">
        <v>84</v>
      </c>
      <c r="AD23" s="9" t="s">
        <v>85</v>
      </c>
      <c r="AE23" s="9" t="s">
        <v>86</v>
      </c>
      <c r="AF23" s="9" t="s">
        <v>87</v>
      </c>
      <c r="AG23" s="9" t="s">
        <v>88</v>
      </c>
      <c r="AH23" s="9" t="s">
        <v>43</v>
      </c>
      <c r="AI23" s="9" t="s">
        <v>89</v>
      </c>
    </row>
    <row r="24" spans="1:35" ht="31.5" customHeight="1" x14ac:dyDescent="0.25">
      <c r="A24" s="5" t="s">
        <v>90</v>
      </c>
      <c r="B24" s="27" t="s">
        <v>91</v>
      </c>
      <c r="C24" s="27" t="s">
        <v>92</v>
      </c>
      <c r="D24" s="27" t="s">
        <v>93</v>
      </c>
      <c r="E24" s="27" t="s">
        <v>94</v>
      </c>
      <c r="F24" s="27" t="s">
        <v>95</v>
      </c>
      <c r="G24" s="27" t="s">
        <v>96</v>
      </c>
      <c r="H24" s="27" t="s">
        <v>11</v>
      </c>
      <c r="I24" s="27" t="s">
        <v>97</v>
      </c>
      <c r="J24" s="27" t="s">
        <v>98</v>
      </c>
      <c r="K24" s="27" t="s">
        <v>99</v>
      </c>
      <c r="L24" s="27" t="s">
        <v>8</v>
      </c>
      <c r="M24" s="27" t="s">
        <v>100</v>
      </c>
      <c r="N24" s="27" t="s">
        <v>95</v>
      </c>
      <c r="O24" s="27" t="s">
        <v>101</v>
      </c>
      <c r="P24" s="27" t="s">
        <v>97</v>
      </c>
      <c r="Q24" s="27" t="s">
        <v>8</v>
      </c>
      <c r="R24" s="27" t="s">
        <v>98</v>
      </c>
      <c r="S24" s="27" t="s">
        <v>9</v>
      </c>
      <c r="T24" s="27" t="s">
        <v>102</v>
      </c>
      <c r="U24" s="27" t="s">
        <v>103</v>
      </c>
      <c r="V24" s="27" t="s">
        <v>16</v>
      </c>
      <c r="W24" s="27" t="s">
        <v>104</v>
      </c>
      <c r="X24" s="27" t="s">
        <v>12</v>
      </c>
      <c r="Y24" s="27" t="s">
        <v>11</v>
      </c>
      <c r="Z24" s="27" t="s">
        <v>105</v>
      </c>
      <c r="AA24" s="27" t="s">
        <v>106</v>
      </c>
      <c r="AB24" s="27" t="s">
        <v>98</v>
      </c>
      <c r="AC24" s="27" t="s">
        <v>107</v>
      </c>
      <c r="AD24" s="27" t="s">
        <v>100</v>
      </c>
      <c r="AE24" s="27" t="s">
        <v>104</v>
      </c>
      <c r="AF24" s="27" t="s">
        <v>19</v>
      </c>
      <c r="AG24" s="27" t="s">
        <v>4</v>
      </c>
      <c r="AH24" s="27" t="s">
        <v>11</v>
      </c>
      <c r="AI24" s="27" t="s">
        <v>104</v>
      </c>
    </row>
    <row r="25" spans="1:35" ht="25.5" customHeight="1" x14ac:dyDescent="0.25">
      <c r="A25" s="15" t="s">
        <v>108</v>
      </c>
      <c r="B25" s="28" t="s">
        <v>109</v>
      </c>
      <c r="C25" s="29">
        <v>810552</v>
      </c>
      <c r="D25" s="30">
        <f t="shared" ref="D25:D31" si="3">C25/SUM($C$25:$C$31)</f>
        <v>0.47791163948257959</v>
      </c>
      <c r="E25" s="31" t="s">
        <v>110</v>
      </c>
      <c r="F25" s="32">
        <v>0.46</v>
      </c>
      <c r="G25" s="30">
        <v>0.496</v>
      </c>
      <c r="H25" s="32">
        <v>0.49</v>
      </c>
      <c r="I25" s="32">
        <v>0.32</v>
      </c>
      <c r="J25" s="32">
        <v>0.53</v>
      </c>
      <c r="K25" s="32">
        <v>0.43</v>
      </c>
      <c r="L25" s="32">
        <v>0.37</v>
      </c>
      <c r="M25" s="32">
        <v>0.48</v>
      </c>
      <c r="N25" s="32">
        <v>0.38</v>
      </c>
      <c r="O25" s="32">
        <v>0.54</v>
      </c>
      <c r="P25" s="32">
        <v>0.28999999999999998</v>
      </c>
      <c r="Q25" s="32">
        <v>0.48</v>
      </c>
      <c r="R25" s="32">
        <v>0.54</v>
      </c>
      <c r="S25" s="32">
        <v>0.38</v>
      </c>
      <c r="T25" s="32">
        <v>0.43</v>
      </c>
      <c r="U25" s="32">
        <v>0.5</v>
      </c>
      <c r="V25" s="32">
        <v>0.46</v>
      </c>
      <c r="W25" s="32">
        <v>0.44</v>
      </c>
      <c r="X25" s="32">
        <v>0.31</v>
      </c>
      <c r="Y25" s="32">
        <v>0.33</v>
      </c>
      <c r="Z25" s="32">
        <v>0.37</v>
      </c>
      <c r="AA25" s="32">
        <v>0.37</v>
      </c>
      <c r="AB25" s="32">
        <v>0.45</v>
      </c>
      <c r="AC25" s="32">
        <v>0.4</v>
      </c>
      <c r="AD25" s="32">
        <v>0.38</v>
      </c>
      <c r="AE25" s="32">
        <v>0.43</v>
      </c>
      <c r="AF25" s="32">
        <v>0.45</v>
      </c>
      <c r="AG25" s="32">
        <v>0.39</v>
      </c>
      <c r="AH25" s="32">
        <v>0.28999999999999998</v>
      </c>
      <c r="AI25" s="32">
        <v>0.4</v>
      </c>
    </row>
    <row r="26" spans="1:35" ht="18" customHeight="1" x14ac:dyDescent="0.25">
      <c r="A26" s="33" t="s">
        <v>111</v>
      </c>
      <c r="B26" s="34" t="s">
        <v>109</v>
      </c>
      <c r="C26" s="35">
        <v>426696</v>
      </c>
      <c r="D26" s="36">
        <f t="shared" si="3"/>
        <v>0.25158532076986889</v>
      </c>
      <c r="E26" s="37" t="s">
        <v>112</v>
      </c>
      <c r="F26" s="38">
        <v>0.3</v>
      </c>
      <c r="G26" s="36">
        <v>0.157</v>
      </c>
      <c r="H26" s="38">
        <v>0.18</v>
      </c>
      <c r="I26" s="38">
        <v>0.02</v>
      </c>
      <c r="J26" s="38">
        <v>0.1</v>
      </c>
      <c r="K26" s="38">
        <v>0.11</v>
      </c>
      <c r="L26" s="38">
        <v>0.14000000000000001</v>
      </c>
      <c r="M26" s="38">
        <v>0.09</v>
      </c>
      <c r="N26" s="38">
        <v>0.2</v>
      </c>
      <c r="O26" s="38">
        <v>0.05</v>
      </c>
      <c r="P26" s="38">
        <v>0.11</v>
      </c>
      <c r="Q26" s="38">
        <v>0.08</v>
      </c>
      <c r="R26" s="38">
        <v>7.0000000000000007E-2</v>
      </c>
      <c r="S26" s="38">
        <v>0.06</v>
      </c>
      <c r="T26" s="38" t="s">
        <v>113</v>
      </c>
      <c r="U26" s="38">
        <v>0.06</v>
      </c>
      <c r="V26" s="38">
        <v>0.04</v>
      </c>
      <c r="W26" s="38">
        <v>0.04</v>
      </c>
      <c r="X26" s="38">
        <v>0.04</v>
      </c>
      <c r="Y26" s="38">
        <v>0.15</v>
      </c>
      <c r="Z26" s="38" t="s">
        <v>113</v>
      </c>
      <c r="AA26" s="38">
        <v>7.0000000000000007E-2</v>
      </c>
      <c r="AB26" s="38">
        <v>0.06</v>
      </c>
      <c r="AC26" s="38">
        <v>0.13</v>
      </c>
      <c r="AD26" s="38">
        <v>0.09</v>
      </c>
      <c r="AE26" s="38">
        <v>0.01</v>
      </c>
      <c r="AF26" s="38">
        <v>0.01</v>
      </c>
      <c r="AG26" s="38">
        <v>0.04</v>
      </c>
      <c r="AH26" s="38" t="s">
        <v>113</v>
      </c>
      <c r="AI26" s="38">
        <v>0.02</v>
      </c>
    </row>
    <row r="27" spans="1:35" ht="18" customHeight="1" x14ac:dyDescent="0.25">
      <c r="A27" s="33" t="s">
        <v>114</v>
      </c>
      <c r="B27" s="34" t="s">
        <v>109</v>
      </c>
      <c r="C27" s="35">
        <v>177660</v>
      </c>
      <c r="D27" s="36">
        <f t="shared" si="3"/>
        <v>0.10475056735468556</v>
      </c>
      <c r="E27" s="37" t="s">
        <v>115</v>
      </c>
      <c r="F27" s="36">
        <v>9.8000000000000004E-2</v>
      </c>
      <c r="G27" s="36">
        <v>0.124</v>
      </c>
      <c r="H27" s="38">
        <v>0.04</v>
      </c>
      <c r="I27" s="38">
        <v>0.13</v>
      </c>
      <c r="J27" s="38">
        <v>0.09</v>
      </c>
      <c r="K27" s="38">
        <v>0.12</v>
      </c>
      <c r="L27" s="38">
        <v>0.12</v>
      </c>
      <c r="M27" s="38">
        <v>0.08</v>
      </c>
      <c r="N27" s="38">
        <v>0.1</v>
      </c>
      <c r="O27" s="38">
        <v>0.08</v>
      </c>
      <c r="P27" s="38">
        <v>0.02</v>
      </c>
      <c r="Q27" s="38">
        <v>0.09</v>
      </c>
      <c r="R27" s="38">
        <v>0.09</v>
      </c>
      <c r="S27" s="38">
        <v>0.05</v>
      </c>
      <c r="T27" s="38">
        <v>0.19</v>
      </c>
      <c r="U27" s="38">
        <v>0.09</v>
      </c>
      <c r="V27" s="38">
        <v>0.04</v>
      </c>
      <c r="W27" s="38">
        <v>0.05</v>
      </c>
      <c r="X27" s="38">
        <v>0.06</v>
      </c>
      <c r="Y27" s="38">
        <v>0.03</v>
      </c>
      <c r="Z27" s="38">
        <v>0.23</v>
      </c>
      <c r="AA27" s="38">
        <v>0.03</v>
      </c>
      <c r="AB27" s="38">
        <v>0.04</v>
      </c>
      <c r="AC27" s="38" t="s">
        <v>113</v>
      </c>
      <c r="AD27" s="38">
        <v>0.02</v>
      </c>
      <c r="AE27" s="38">
        <v>0</v>
      </c>
      <c r="AF27" s="38">
        <v>0.01</v>
      </c>
      <c r="AG27" s="38" t="s">
        <v>113</v>
      </c>
      <c r="AH27" s="38" t="s">
        <v>113</v>
      </c>
      <c r="AI27" s="38" t="s">
        <v>113</v>
      </c>
    </row>
    <row r="28" spans="1:35" ht="18" customHeight="1" x14ac:dyDescent="0.25">
      <c r="A28" s="33" t="s">
        <v>116</v>
      </c>
      <c r="B28" s="34" t="s">
        <v>109</v>
      </c>
      <c r="C28" s="35">
        <v>144950</v>
      </c>
      <c r="D28" s="36">
        <f t="shared" si="3"/>
        <v>8.5464340527196175E-2</v>
      </c>
      <c r="E28" s="37" t="s">
        <v>115</v>
      </c>
      <c r="F28" s="36">
        <v>5.8999999999999997E-2</v>
      </c>
      <c r="G28" s="36">
        <v>3.5000000000000003E-2</v>
      </c>
      <c r="H28" s="38">
        <v>0.08</v>
      </c>
      <c r="I28" s="38">
        <v>0.19</v>
      </c>
      <c r="J28" s="38">
        <v>0.04</v>
      </c>
      <c r="K28" s="38">
        <v>0.02</v>
      </c>
      <c r="L28" s="38">
        <v>0.02</v>
      </c>
      <c r="M28" s="38">
        <v>0.04</v>
      </c>
      <c r="N28" s="38">
        <v>0.02</v>
      </c>
      <c r="O28" s="38">
        <v>0.02</v>
      </c>
      <c r="P28" s="38">
        <v>0.14000000000000001</v>
      </c>
      <c r="Q28" s="38">
        <v>0.03</v>
      </c>
      <c r="R28" s="38">
        <v>0.02</v>
      </c>
      <c r="S28" s="38">
        <v>7.0000000000000007E-2</v>
      </c>
      <c r="T28" s="38" t="s">
        <v>113</v>
      </c>
      <c r="U28" s="38">
        <v>0.03</v>
      </c>
      <c r="V28" s="38">
        <v>0.03</v>
      </c>
      <c r="W28" s="38">
        <v>0.02</v>
      </c>
      <c r="X28" s="38">
        <v>0.01</v>
      </c>
      <c r="Y28" s="38">
        <v>0.09</v>
      </c>
      <c r="Z28" s="38" t="s">
        <v>113</v>
      </c>
      <c r="AA28" s="38">
        <v>0.04</v>
      </c>
      <c r="AB28" s="38">
        <v>0.03</v>
      </c>
      <c r="AC28" s="38" t="s">
        <v>113</v>
      </c>
      <c r="AD28" s="38">
        <v>0.01</v>
      </c>
      <c r="AE28" s="38">
        <v>0.02</v>
      </c>
      <c r="AF28" s="38">
        <v>0.03</v>
      </c>
      <c r="AG28" s="38">
        <v>0.03</v>
      </c>
      <c r="AH28" s="38">
        <v>0.09</v>
      </c>
      <c r="AI28" s="38">
        <v>0.02</v>
      </c>
    </row>
    <row r="29" spans="1:35" ht="18" customHeight="1" x14ac:dyDescent="0.25">
      <c r="A29" s="33" t="s">
        <v>117</v>
      </c>
      <c r="B29" s="34" t="s">
        <v>109</v>
      </c>
      <c r="C29" s="35">
        <v>69026</v>
      </c>
      <c r="D29" s="36">
        <f t="shared" si="3"/>
        <v>4.0698596545224168E-2</v>
      </c>
      <c r="E29" s="37" t="s">
        <v>115</v>
      </c>
      <c r="F29" s="38" t="s">
        <v>113</v>
      </c>
      <c r="G29" s="38" t="s">
        <v>113</v>
      </c>
      <c r="H29" s="38" t="s">
        <v>113</v>
      </c>
      <c r="I29" s="38" t="s">
        <v>113</v>
      </c>
      <c r="J29" s="38" t="s">
        <v>113</v>
      </c>
      <c r="K29" s="38" t="s">
        <v>113</v>
      </c>
      <c r="L29" s="38" t="s">
        <v>113</v>
      </c>
      <c r="M29" s="38" t="s">
        <v>113</v>
      </c>
      <c r="N29" s="38" t="s">
        <v>113</v>
      </c>
      <c r="O29" s="38" t="s">
        <v>113</v>
      </c>
      <c r="P29" s="38" t="s">
        <v>113</v>
      </c>
      <c r="Q29" s="38" t="s">
        <v>113</v>
      </c>
      <c r="R29" s="38" t="s">
        <v>113</v>
      </c>
      <c r="S29" s="38" t="s">
        <v>113</v>
      </c>
      <c r="T29" s="38" t="s">
        <v>113</v>
      </c>
      <c r="U29" s="38" t="s">
        <v>113</v>
      </c>
      <c r="V29" s="38" t="s">
        <v>113</v>
      </c>
      <c r="W29" s="38" t="s">
        <v>113</v>
      </c>
      <c r="X29" s="38" t="s">
        <v>113</v>
      </c>
      <c r="Y29" s="38" t="s">
        <v>113</v>
      </c>
      <c r="Z29" s="38" t="s">
        <v>113</v>
      </c>
      <c r="AA29" s="38" t="s">
        <v>113</v>
      </c>
      <c r="AB29" s="38" t="s">
        <v>113</v>
      </c>
      <c r="AC29" s="38" t="s">
        <v>113</v>
      </c>
      <c r="AD29" s="38" t="s">
        <v>113</v>
      </c>
      <c r="AE29" s="38" t="s">
        <v>113</v>
      </c>
      <c r="AF29" s="38" t="s">
        <v>113</v>
      </c>
      <c r="AG29" s="38" t="s">
        <v>113</v>
      </c>
      <c r="AH29" s="38" t="s">
        <v>113</v>
      </c>
      <c r="AI29" s="38" t="s">
        <v>113</v>
      </c>
    </row>
    <row r="30" spans="1:35" ht="18" customHeight="1" x14ac:dyDescent="0.25">
      <c r="A30" s="33" t="s">
        <v>118</v>
      </c>
      <c r="B30" s="34" t="s">
        <v>109</v>
      </c>
      <c r="C30" s="35">
        <v>27602</v>
      </c>
      <c r="D30" s="36">
        <f t="shared" si="3"/>
        <v>1.6274485872588264E-2</v>
      </c>
      <c r="E30" s="37" t="s">
        <v>115</v>
      </c>
      <c r="F30" s="38" t="s">
        <v>113</v>
      </c>
      <c r="G30" s="38" t="s">
        <v>113</v>
      </c>
      <c r="H30" s="38" t="s">
        <v>113</v>
      </c>
      <c r="I30" s="38" t="s">
        <v>113</v>
      </c>
      <c r="J30" s="38" t="s">
        <v>113</v>
      </c>
      <c r="K30" s="38" t="s">
        <v>113</v>
      </c>
      <c r="L30" s="38" t="s">
        <v>113</v>
      </c>
      <c r="M30" s="38" t="s">
        <v>113</v>
      </c>
      <c r="N30" s="38" t="s">
        <v>113</v>
      </c>
      <c r="O30" s="38" t="s">
        <v>113</v>
      </c>
      <c r="P30" s="38" t="s">
        <v>113</v>
      </c>
      <c r="Q30" s="38" t="s">
        <v>113</v>
      </c>
      <c r="R30" s="38" t="s">
        <v>113</v>
      </c>
      <c r="S30" s="38" t="s">
        <v>113</v>
      </c>
      <c r="T30" s="38" t="s">
        <v>113</v>
      </c>
      <c r="U30" s="38" t="s">
        <v>113</v>
      </c>
      <c r="V30" s="38" t="s">
        <v>113</v>
      </c>
      <c r="W30" s="38" t="s">
        <v>113</v>
      </c>
      <c r="X30" s="38" t="s">
        <v>113</v>
      </c>
      <c r="Y30" s="38" t="s">
        <v>113</v>
      </c>
      <c r="Z30" s="38" t="s">
        <v>113</v>
      </c>
      <c r="AA30" s="38" t="s">
        <v>113</v>
      </c>
      <c r="AB30" s="38" t="s">
        <v>113</v>
      </c>
      <c r="AC30" s="38" t="s">
        <v>113</v>
      </c>
      <c r="AD30" s="38" t="s">
        <v>113</v>
      </c>
      <c r="AE30" s="38" t="s">
        <v>113</v>
      </c>
      <c r="AF30" s="38" t="s">
        <v>113</v>
      </c>
      <c r="AG30" s="38" t="s">
        <v>113</v>
      </c>
      <c r="AH30" s="38" t="s">
        <v>113</v>
      </c>
      <c r="AI30" s="38" t="s">
        <v>113</v>
      </c>
    </row>
    <row r="31" spans="1:35" ht="18" customHeight="1" x14ac:dyDescent="0.25">
      <c r="A31" s="39" t="s">
        <v>119</v>
      </c>
      <c r="B31" s="34" t="s">
        <v>120</v>
      </c>
      <c r="C31" s="35">
        <v>39543</v>
      </c>
      <c r="D31" s="36">
        <f t="shared" si="3"/>
        <v>2.3315049447857318E-2</v>
      </c>
      <c r="E31" s="37" t="s">
        <v>121</v>
      </c>
      <c r="F31" s="38">
        <v>0.04</v>
      </c>
      <c r="G31" s="36">
        <v>5.2999999999999999E-2</v>
      </c>
      <c r="H31" s="38">
        <v>0.04</v>
      </c>
      <c r="I31" s="38" t="s">
        <v>113</v>
      </c>
      <c r="J31" s="38" t="s">
        <v>113</v>
      </c>
      <c r="K31" s="38" t="s">
        <v>113</v>
      </c>
      <c r="L31" s="38">
        <v>0.05</v>
      </c>
      <c r="M31" s="38">
        <v>0.04</v>
      </c>
      <c r="N31" s="38" t="s">
        <v>113</v>
      </c>
      <c r="O31" s="38" t="s">
        <v>113</v>
      </c>
      <c r="P31" s="38" t="s">
        <v>113</v>
      </c>
      <c r="Q31" s="38" t="s">
        <v>113</v>
      </c>
      <c r="R31" s="38" t="s">
        <v>113</v>
      </c>
      <c r="S31" s="38">
        <v>0.17</v>
      </c>
      <c r="T31" s="38" t="s">
        <v>113</v>
      </c>
      <c r="U31" s="38" t="s">
        <v>113</v>
      </c>
      <c r="V31" s="38">
        <v>0.04</v>
      </c>
      <c r="W31" s="38" t="s">
        <v>113</v>
      </c>
      <c r="X31" s="38">
        <v>0.06</v>
      </c>
      <c r="Y31" s="38" t="s">
        <v>113</v>
      </c>
      <c r="Z31" s="38" t="s">
        <v>113</v>
      </c>
      <c r="AA31" s="38" t="s">
        <v>113</v>
      </c>
      <c r="AB31" s="38" t="s">
        <v>113</v>
      </c>
      <c r="AC31" s="38">
        <v>0.09</v>
      </c>
      <c r="AD31" s="38" t="s">
        <v>113</v>
      </c>
      <c r="AE31" s="38" t="s">
        <v>113</v>
      </c>
      <c r="AF31" s="38" t="s">
        <v>113</v>
      </c>
      <c r="AG31" s="38" t="s">
        <v>113</v>
      </c>
      <c r="AH31" s="38" t="s">
        <v>113</v>
      </c>
      <c r="AI31" s="38" t="s">
        <v>113</v>
      </c>
    </row>
    <row r="32" spans="1:35" ht="18" customHeight="1" x14ac:dyDescent="0.25">
      <c r="A32" s="39" t="s">
        <v>122</v>
      </c>
      <c r="B32" s="34" t="s">
        <v>120</v>
      </c>
      <c r="C32" s="35" t="s">
        <v>120</v>
      </c>
      <c r="D32" s="36" t="s">
        <v>120</v>
      </c>
      <c r="E32" s="37" t="s">
        <v>120</v>
      </c>
      <c r="F32" s="38">
        <v>0.04</v>
      </c>
      <c r="G32" s="36">
        <v>0.13500000000000001</v>
      </c>
      <c r="H32" s="38">
        <v>0.17</v>
      </c>
      <c r="I32" s="38">
        <v>0.32</v>
      </c>
      <c r="J32" s="38">
        <v>0.24</v>
      </c>
      <c r="K32" s="38">
        <v>0.31</v>
      </c>
      <c r="L32" s="38">
        <v>0.3</v>
      </c>
      <c r="M32" s="38">
        <v>0.27</v>
      </c>
      <c r="N32" s="38">
        <v>0.28000000000000003</v>
      </c>
      <c r="O32" s="38">
        <v>0.31</v>
      </c>
      <c r="P32" s="38">
        <v>0.44</v>
      </c>
      <c r="Q32" s="38">
        <v>0.28000000000000003</v>
      </c>
      <c r="R32" s="38">
        <v>0.28000000000000003</v>
      </c>
      <c r="S32" s="38">
        <v>0.28000000000000003</v>
      </c>
      <c r="T32" s="38">
        <v>0.38</v>
      </c>
      <c r="U32" s="38">
        <v>0.32</v>
      </c>
      <c r="V32" s="38">
        <v>0.39</v>
      </c>
      <c r="W32" s="38">
        <v>0.45</v>
      </c>
      <c r="X32" s="38">
        <v>0.51</v>
      </c>
      <c r="Y32" s="38">
        <v>0.4</v>
      </c>
      <c r="Z32" s="38">
        <v>0.4</v>
      </c>
      <c r="AA32" s="38">
        <v>0.49</v>
      </c>
      <c r="AB32" s="38">
        <v>0.41</v>
      </c>
      <c r="AC32" s="38">
        <v>0.38</v>
      </c>
      <c r="AD32" s="38">
        <v>0.49</v>
      </c>
      <c r="AE32" s="38">
        <v>0.54</v>
      </c>
      <c r="AF32" s="38">
        <v>0.49</v>
      </c>
      <c r="AG32" s="38">
        <v>0.54</v>
      </c>
      <c r="AH32" s="38">
        <v>0.62</v>
      </c>
      <c r="AI32" s="38">
        <v>0.54</v>
      </c>
    </row>
    <row r="34" spans="1:5" ht="24" customHeight="1" x14ac:dyDescent="0.25">
      <c r="A34" s="26" t="s">
        <v>123</v>
      </c>
    </row>
    <row r="35" spans="1:5" ht="31.5" customHeight="1" x14ac:dyDescent="0.25">
      <c r="A35" s="5" t="s">
        <v>90</v>
      </c>
      <c r="B35" s="27" t="s">
        <v>91</v>
      </c>
      <c r="C35" s="27" t="s">
        <v>92</v>
      </c>
      <c r="D35" s="27" t="s">
        <v>93</v>
      </c>
      <c r="E35" s="27" t="s">
        <v>94</v>
      </c>
    </row>
    <row r="36" spans="1:5" ht="25.5" customHeight="1" x14ac:dyDescent="0.25">
      <c r="A36" s="11" t="s">
        <v>124</v>
      </c>
      <c r="B36" s="40" t="s">
        <v>125</v>
      </c>
      <c r="C36" s="41">
        <v>761558</v>
      </c>
      <c r="D36" s="42">
        <f t="shared" ref="D36:D41" si="4">C36/SUM($C$36:$C$41)</f>
        <v>0.60956239714668081</v>
      </c>
      <c r="E36" s="43" t="s">
        <v>126</v>
      </c>
    </row>
    <row r="37" spans="1:5" ht="18" customHeight="1" x14ac:dyDescent="0.25">
      <c r="A37" s="39" t="s">
        <v>127</v>
      </c>
      <c r="B37" s="34" t="s">
        <v>125</v>
      </c>
      <c r="C37" s="35">
        <v>189205</v>
      </c>
      <c r="D37" s="36">
        <f t="shared" si="4"/>
        <v>0.15144250779604146</v>
      </c>
      <c r="E37" s="37" t="s">
        <v>112</v>
      </c>
    </row>
    <row r="38" spans="1:5" ht="18" customHeight="1" x14ac:dyDescent="0.25">
      <c r="A38" s="39" t="s">
        <v>128</v>
      </c>
      <c r="B38" s="34" t="s">
        <v>125</v>
      </c>
      <c r="C38" s="35">
        <v>119825</v>
      </c>
      <c r="D38" s="36">
        <f t="shared" si="4"/>
        <v>9.5909719598639934E-2</v>
      </c>
      <c r="E38" s="37" t="s">
        <v>129</v>
      </c>
    </row>
    <row r="39" spans="1:5" ht="18" customHeight="1" x14ac:dyDescent="0.25">
      <c r="A39" s="39" t="s">
        <v>130</v>
      </c>
      <c r="B39" s="34" t="s">
        <v>125</v>
      </c>
      <c r="C39" s="35">
        <v>96581</v>
      </c>
      <c r="D39" s="36">
        <f t="shared" si="4"/>
        <v>7.7304874847120744E-2</v>
      </c>
      <c r="E39" s="37" t="s">
        <v>129</v>
      </c>
    </row>
    <row r="40" spans="1:5" ht="18" customHeight="1" x14ac:dyDescent="0.25">
      <c r="A40" s="39" t="s">
        <v>131</v>
      </c>
      <c r="B40" s="34" t="s">
        <v>125</v>
      </c>
      <c r="C40" s="35">
        <v>47261</v>
      </c>
      <c r="D40" s="36">
        <f t="shared" si="4"/>
        <v>3.78284102478725E-2</v>
      </c>
      <c r="E40" s="37" t="s">
        <v>115</v>
      </c>
    </row>
    <row r="41" spans="1:5" ht="18" customHeight="1" x14ac:dyDescent="0.25">
      <c r="A41" s="39" t="s">
        <v>132</v>
      </c>
      <c r="B41" s="34" t="s">
        <v>125</v>
      </c>
      <c r="C41" s="35">
        <v>34922</v>
      </c>
      <c r="D41" s="36">
        <f t="shared" si="4"/>
        <v>2.7952090363644513E-2</v>
      </c>
      <c r="E41" s="37" t="s">
        <v>115</v>
      </c>
    </row>
    <row r="43" spans="1:5" x14ac:dyDescent="0.25">
      <c r="A43" s="44"/>
    </row>
  </sheetData>
  <mergeCells count="3">
    <mergeCell ref="A1:L1"/>
    <mergeCell ref="A2:L2"/>
    <mergeCell ref="F22:M22"/>
  </mergeCells>
  <conditionalFormatting sqref="B15:E15">
    <cfRule type="expression" dxfId="7" priority="6">
      <formula>ROUND(B15,1)&gt;ROUND(B16,1)</formula>
    </cfRule>
  </conditionalFormatting>
  <conditionalFormatting sqref="B16:E16">
    <cfRule type="expression" dxfId="6" priority="7">
      <formula>ROUND(B16,1)&gt;ROUND(B15,1)</formula>
    </cfRule>
  </conditionalFormatting>
  <conditionalFormatting sqref="B19:E19">
    <cfRule type="expression" dxfId="5" priority="8">
      <formula>LEFT(B19,5)="Jolly"</formula>
    </cfRule>
    <cfRule type="expression" dxfId="4" priority="9">
      <formula>LEFT(B19,7)="Donalds"</formula>
    </cfRule>
  </conditionalFormatting>
  <conditionalFormatting sqref="B5:AA5">
    <cfRule type="expression" dxfId="3" priority="2">
      <formula>AND(ISNUMBER(B5),ISNUMBER(B6),ROUND(B5,1)&gt;ROUND(B6,1))</formula>
    </cfRule>
  </conditionalFormatting>
  <conditionalFormatting sqref="B6:AA6">
    <cfRule type="expression" dxfId="2" priority="3">
      <formula>AND(ISNUMBER(B5),ISNUMBER(B6),ROUND(B6,1)&gt;ROUND(B5,1))</formula>
    </cfRule>
  </conditionalFormatting>
  <conditionalFormatting sqref="B9:AA9">
    <cfRule type="expression" dxfId="1" priority="4">
      <formula>LEFT(B9,5)="Jolly"</formula>
    </cfRule>
    <cfRule type="expression" dxfId="0" priority="5">
      <formula>LEFT(B9,7)="Donalds"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19" customWidth="1"/>
    <col min="3" max="3" width="23" customWidth="1"/>
    <col min="4" max="4" width="15" customWidth="1"/>
    <col min="5" max="5" width="18" customWidth="1"/>
    <col min="6" max="6" width="60" customWidth="1"/>
  </cols>
  <sheetData>
    <row r="1" spans="1:6" ht="30" customHeight="1" x14ac:dyDescent="0.25">
      <c r="A1" s="1" t="s">
        <v>133</v>
      </c>
      <c r="B1" s="1"/>
      <c r="C1" s="1"/>
      <c r="D1" s="1"/>
      <c r="E1" s="1"/>
      <c r="F1" s="1"/>
    </row>
    <row r="2" spans="1:6" ht="54" customHeight="1" x14ac:dyDescent="0.25">
      <c r="A2" s="45" t="s">
        <v>134</v>
      </c>
      <c r="B2" s="46" t="s">
        <v>135</v>
      </c>
      <c r="C2" s="46" t="s">
        <v>90</v>
      </c>
      <c r="D2" s="46" t="s">
        <v>91</v>
      </c>
      <c r="E2" s="46" t="s">
        <v>136</v>
      </c>
      <c r="F2" s="46" t="s">
        <v>137</v>
      </c>
    </row>
    <row r="3" spans="1:6" ht="54" customHeight="1" x14ac:dyDescent="0.25">
      <c r="A3" s="47">
        <v>46133</v>
      </c>
      <c r="B3" s="48" t="s">
        <v>138</v>
      </c>
      <c r="C3" s="48" t="s">
        <v>108</v>
      </c>
      <c r="D3" s="48" t="s">
        <v>109</v>
      </c>
      <c r="E3" s="49">
        <v>0.78</v>
      </c>
      <c r="F3" s="50" t="s">
        <v>139</v>
      </c>
    </row>
    <row r="4" spans="1:6" ht="54" customHeight="1" x14ac:dyDescent="0.25">
      <c r="A4" s="51">
        <v>46133</v>
      </c>
      <c r="B4" s="52" t="s">
        <v>138</v>
      </c>
      <c r="C4" s="52" t="s">
        <v>124</v>
      </c>
      <c r="D4" s="52" t="s">
        <v>125</v>
      </c>
      <c r="E4" s="53">
        <v>0.23</v>
      </c>
      <c r="F4" s="54" t="s">
        <v>140</v>
      </c>
    </row>
    <row r="5" spans="1:6" ht="54" customHeight="1" x14ac:dyDescent="0.25">
      <c r="A5" s="47">
        <v>46274</v>
      </c>
      <c r="B5" s="48" t="s">
        <v>141</v>
      </c>
      <c r="C5" s="48" t="s">
        <v>108</v>
      </c>
      <c r="D5" s="48" t="s">
        <v>109</v>
      </c>
      <c r="E5" s="49">
        <v>0.82</v>
      </c>
      <c r="F5" s="50" t="s">
        <v>142</v>
      </c>
    </row>
    <row r="6" spans="1:6" ht="54" customHeight="1" x14ac:dyDescent="0.25">
      <c r="A6" s="51">
        <v>46274</v>
      </c>
      <c r="B6" s="52" t="s">
        <v>141</v>
      </c>
      <c r="C6" s="52" t="s">
        <v>124</v>
      </c>
      <c r="D6" s="52" t="s">
        <v>125</v>
      </c>
      <c r="E6" s="53">
        <v>0.18</v>
      </c>
      <c r="F6" s="54" t="s">
        <v>143</v>
      </c>
    </row>
    <row r="7" spans="1:6" ht="54" customHeight="1" x14ac:dyDescent="0.25">
      <c r="A7" s="47">
        <v>46304</v>
      </c>
      <c r="B7" s="48" t="s">
        <v>144</v>
      </c>
      <c r="C7" s="48" t="s">
        <v>108</v>
      </c>
      <c r="D7" s="48" t="s">
        <v>109</v>
      </c>
      <c r="E7" s="49">
        <v>0.76</v>
      </c>
      <c r="F7" s="50" t="s">
        <v>145</v>
      </c>
    </row>
    <row r="8" spans="1:6" ht="54" customHeight="1" x14ac:dyDescent="0.25">
      <c r="A8" s="51">
        <v>46304</v>
      </c>
      <c r="B8" s="52" t="s">
        <v>144</v>
      </c>
      <c r="C8" s="52" t="s">
        <v>124</v>
      </c>
      <c r="D8" s="52" t="s">
        <v>125</v>
      </c>
      <c r="E8" s="53">
        <v>0.24</v>
      </c>
      <c r="F8" s="54" t="s">
        <v>146</v>
      </c>
    </row>
    <row r="9" spans="1:6" ht="54" customHeight="1" x14ac:dyDescent="0.25">
      <c r="A9" s="47">
        <v>46304</v>
      </c>
      <c r="B9" s="48" t="s">
        <v>138</v>
      </c>
      <c r="C9" s="48" t="s">
        <v>108</v>
      </c>
      <c r="D9" s="48" t="s">
        <v>109</v>
      </c>
      <c r="E9" s="49">
        <v>0.78</v>
      </c>
      <c r="F9" s="50" t="s">
        <v>147</v>
      </c>
    </row>
    <row r="10" spans="1:6" ht="54" customHeight="1" x14ac:dyDescent="0.25">
      <c r="A10" s="51">
        <v>46304</v>
      </c>
      <c r="B10" s="52" t="s">
        <v>138</v>
      </c>
      <c r="C10" s="52" t="s">
        <v>124</v>
      </c>
      <c r="D10" s="52" t="s">
        <v>125</v>
      </c>
      <c r="E10" s="53">
        <v>0.23</v>
      </c>
      <c r="F10" s="54" t="s">
        <v>147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34" customWidth="1"/>
    <col min="2" max="31" width="19" customWidth="1"/>
  </cols>
  <sheetData>
    <row r="1" spans="1:33" ht="36" customHeight="1" x14ac:dyDescent="0.25">
      <c r="A1" s="45" t="s">
        <v>3</v>
      </c>
      <c r="B1" s="46" t="s">
        <v>104</v>
      </c>
      <c r="C1" s="46" t="s">
        <v>11</v>
      </c>
      <c r="D1" s="46" t="s">
        <v>4</v>
      </c>
      <c r="E1" s="46" t="s">
        <v>19</v>
      </c>
      <c r="F1" s="46" t="s">
        <v>104</v>
      </c>
      <c r="G1" s="46" t="s">
        <v>100</v>
      </c>
      <c r="H1" s="46" t="s">
        <v>107</v>
      </c>
      <c r="I1" s="46" t="s">
        <v>98</v>
      </c>
      <c r="J1" s="46" t="s">
        <v>106</v>
      </c>
      <c r="K1" s="46" t="s">
        <v>105</v>
      </c>
      <c r="L1" s="46" t="s">
        <v>11</v>
      </c>
      <c r="M1" s="46" t="s">
        <v>12</v>
      </c>
      <c r="N1" s="46" t="s">
        <v>104</v>
      </c>
      <c r="O1" s="46" t="s">
        <v>16</v>
      </c>
      <c r="P1" s="46" t="s">
        <v>103</v>
      </c>
      <c r="Q1" s="46" t="s">
        <v>102</v>
      </c>
      <c r="R1" s="46" t="s">
        <v>9</v>
      </c>
      <c r="S1" s="46" t="s">
        <v>98</v>
      </c>
      <c r="T1" s="46" t="s">
        <v>8</v>
      </c>
      <c r="U1" s="46" t="s">
        <v>97</v>
      </c>
      <c r="V1" s="46" t="s">
        <v>101</v>
      </c>
      <c r="W1" s="46" t="s">
        <v>95</v>
      </c>
      <c r="X1" s="46" t="s">
        <v>100</v>
      </c>
      <c r="Y1" s="46" t="s">
        <v>8</v>
      </c>
      <c r="Z1" s="46" t="s">
        <v>99</v>
      </c>
      <c r="AA1" s="46" t="s">
        <v>98</v>
      </c>
      <c r="AB1" s="46" t="s">
        <v>97</v>
      </c>
      <c r="AC1" s="46" t="s">
        <v>11</v>
      </c>
      <c r="AD1" s="46" t="s">
        <v>96</v>
      </c>
      <c r="AE1" s="46" t="s">
        <v>95</v>
      </c>
    </row>
    <row r="2" spans="1:33" x14ac:dyDescent="0.25">
      <c r="A2" s="55" t="s">
        <v>148</v>
      </c>
      <c r="B2" s="56">
        <v>45904</v>
      </c>
      <c r="C2" s="56">
        <v>45916</v>
      </c>
      <c r="D2" s="56">
        <v>45943</v>
      </c>
      <c r="E2" s="56">
        <v>45972</v>
      </c>
      <c r="F2" s="56">
        <v>45978</v>
      </c>
      <c r="G2" s="56">
        <v>45999</v>
      </c>
      <c r="H2" s="56">
        <v>45998</v>
      </c>
      <c r="I2" s="56">
        <v>46026</v>
      </c>
      <c r="J2" s="56">
        <v>46030</v>
      </c>
      <c r="K2" s="56">
        <v>46041</v>
      </c>
      <c r="L2" s="56">
        <v>46066</v>
      </c>
      <c r="M2" s="56">
        <v>46069</v>
      </c>
      <c r="N2" s="56">
        <v>46076</v>
      </c>
      <c r="O2" s="56">
        <v>46110</v>
      </c>
      <c r="P2" s="56">
        <v>46111</v>
      </c>
      <c r="Q2" s="56">
        <v>46108</v>
      </c>
      <c r="R2" s="56">
        <v>46106</v>
      </c>
      <c r="S2" s="56">
        <v>46138</v>
      </c>
      <c r="T2" s="56">
        <v>46155</v>
      </c>
      <c r="U2" s="56">
        <v>46173</v>
      </c>
      <c r="V2" s="56">
        <v>46176</v>
      </c>
      <c r="W2" s="56">
        <v>46205</v>
      </c>
      <c r="X2" s="56">
        <v>46211</v>
      </c>
      <c r="Y2" s="56">
        <v>46212</v>
      </c>
      <c r="Z2" s="56">
        <v>46215</v>
      </c>
      <c r="AA2" s="56">
        <v>46217</v>
      </c>
      <c r="AB2" s="56">
        <v>46224</v>
      </c>
      <c r="AC2" s="56">
        <v>46223</v>
      </c>
      <c r="AD2" s="56">
        <v>46230</v>
      </c>
      <c r="AE2" s="56">
        <v>46231</v>
      </c>
      <c r="AG2" t="s">
        <v>149</v>
      </c>
    </row>
    <row r="3" spans="1:33" x14ac:dyDescent="0.25">
      <c r="A3" s="55" t="s">
        <v>150</v>
      </c>
      <c r="B3" s="56">
        <v>45905</v>
      </c>
      <c r="C3" s="56">
        <v>45918</v>
      </c>
      <c r="D3" s="56">
        <v>45945</v>
      </c>
      <c r="E3" s="56">
        <v>45974</v>
      </c>
      <c r="F3" s="56">
        <v>45980</v>
      </c>
      <c r="G3" s="56">
        <v>46000</v>
      </c>
      <c r="H3" s="56">
        <v>46002</v>
      </c>
      <c r="I3" s="56">
        <v>46028</v>
      </c>
      <c r="J3" s="56">
        <v>46035</v>
      </c>
      <c r="K3" s="56">
        <v>46051</v>
      </c>
      <c r="L3" s="56">
        <v>46069</v>
      </c>
      <c r="M3" s="56">
        <v>46073</v>
      </c>
      <c r="N3" s="56">
        <v>46079</v>
      </c>
      <c r="O3" s="56">
        <v>46112</v>
      </c>
      <c r="P3" s="56">
        <v>46114</v>
      </c>
      <c r="Q3" s="56">
        <v>46118</v>
      </c>
      <c r="R3" s="56">
        <v>46125</v>
      </c>
      <c r="S3" s="56">
        <v>46142</v>
      </c>
      <c r="T3" s="56">
        <v>46158</v>
      </c>
      <c r="U3" s="56">
        <v>46176</v>
      </c>
      <c r="V3" s="56">
        <v>46180</v>
      </c>
      <c r="W3" s="56">
        <v>46209</v>
      </c>
      <c r="X3" s="56">
        <v>46214</v>
      </c>
      <c r="Y3" s="56">
        <v>46214</v>
      </c>
      <c r="Z3" s="56">
        <v>46216</v>
      </c>
      <c r="AA3" s="56">
        <v>46219</v>
      </c>
      <c r="AB3" s="56">
        <v>46226</v>
      </c>
      <c r="AC3" s="56">
        <v>46229</v>
      </c>
      <c r="AD3" s="56">
        <v>46232</v>
      </c>
      <c r="AE3" s="56">
        <v>46232</v>
      </c>
    </row>
    <row r="4" spans="1:33" ht="43.5" customHeight="1" x14ac:dyDescent="0.25">
      <c r="A4" s="55" t="s">
        <v>151</v>
      </c>
      <c r="B4" s="57" t="s">
        <v>152</v>
      </c>
      <c r="C4" s="57" t="s">
        <v>153</v>
      </c>
      <c r="D4" s="57" t="s">
        <v>152</v>
      </c>
      <c r="E4" s="57" t="s">
        <v>152</v>
      </c>
      <c r="F4" s="57" t="s">
        <v>152</v>
      </c>
      <c r="G4" s="57" t="s">
        <v>152</v>
      </c>
      <c r="H4" s="57" t="s">
        <v>153</v>
      </c>
      <c r="I4" s="57" t="s">
        <v>152</v>
      </c>
      <c r="J4" s="57" t="s">
        <v>153</v>
      </c>
      <c r="K4" s="57" t="s">
        <v>152</v>
      </c>
      <c r="L4" s="57" t="s">
        <v>153</v>
      </c>
      <c r="M4" s="57" t="s">
        <v>152</v>
      </c>
      <c r="N4" s="57" t="s">
        <v>152</v>
      </c>
      <c r="O4" s="57" t="s">
        <v>152</v>
      </c>
      <c r="P4" s="57" t="s">
        <v>152</v>
      </c>
      <c r="Q4" s="57" t="s">
        <v>152</v>
      </c>
      <c r="R4" s="57" t="s">
        <v>152</v>
      </c>
      <c r="S4" s="57" t="s">
        <v>152</v>
      </c>
      <c r="T4" s="57" t="s">
        <v>152</v>
      </c>
      <c r="U4" s="57" t="s">
        <v>152</v>
      </c>
      <c r="V4" s="57" t="s">
        <v>152</v>
      </c>
      <c r="W4" s="57" t="s">
        <v>152</v>
      </c>
      <c r="X4" s="57" t="s">
        <v>152</v>
      </c>
      <c r="Y4" s="57" t="s">
        <v>152</v>
      </c>
      <c r="Z4" s="57" t="s">
        <v>152</v>
      </c>
      <c r="AA4" s="57" t="s">
        <v>152</v>
      </c>
      <c r="AB4" s="57" t="s">
        <v>152</v>
      </c>
      <c r="AC4" s="57" t="s">
        <v>152</v>
      </c>
      <c r="AD4" s="57" t="s">
        <v>152</v>
      </c>
      <c r="AE4" s="57" t="s">
        <v>152</v>
      </c>
    </row>
    <row r="5" spans="1:33" ht="24" customHeight="1" x14ac:dyDescent="0.25">
      <c r="A5" s="58" t="s">
        <v>154</v>
      </c>
      <c r="B5" s="59">
        <v>0.4</v>
      </c>
      <c r="C5" s="59">
        <v>0.28999999999999998</v>
      </c>
      <c r="D5" s="59">
        <v>0.39</v>
      </c>
      <c r="E5" s="59">
        <v>0.45</v>
      </c>
      <c r="F5" s="59">
        <v>0.43</v>
      </c>
      <c r="G5" s="59">
        <v>0.38</v>
      </c>
      <c r="H5" s="59">
        <v>0.4</v>
      </c>
      <c r="I5" s="59">
        <v>0.45</v>
      </c>
      <c r="J5" s="59">
        <v>0.37</v>
      </c>
      <c r="K5" s="59">
        <v>0.37</v>
      </c>
      <c r="L5" s="59">
        <v>0.33</v>
      </c>
      <c r="M5" s="59">
        <v>0.31</v>
      </c>
      <c r="N5" s="59">
        <v>0.44</v>
      </c>
      <c r="O5" s="59">
        <v>0.46</v>
      </c>
      <c r="P5" s="59">
        <v>0.5</v>
      </c>
      <c r="Q5" s="59">
        <v>0.43</v>
      </c>
      <c r="R5" s="59">
        <v>0.38</v>
      </c>
      <c r="S5" s="59">
        <v>0.54</v>
      </c>
      <c r="T5" s="59">
        <v>0.48</v>
      </c>
      <c r="U5" s="59">
        <v>0.28999999999999998</v>
      </c>
      <c r="V5" s="59">
        <v>0.54</v>
      </c>
      <c r="W5" s="59">
        <v>0.38</v>
      </c>
      <c r="X5" s="59">
        <v>0.48</v>
      </c>
      <c r="Y5" s="59">
        <v>0.37</v>
      </c>
      <c r="Z5" s="59">
        <v>0.43</v>
      </c>
      <c r="AA5" s="59">
        <v>0.53</v>
      </c>
      <c r="AB5" s="59">
        <v>0.32</v>
      </c>
      <c r="AC5" s="59">
        <v>0.49</v>
      </c>
      <c r="AD5" s="60">
        <v>0.496</v>
      </c>
      <c r="AE5" s="59">
        <v>0.46</v>
      </c>
    </row>
    <row r="6" spans="1:33" ht="24" customHeight="1" x14ac:dyDescent="0.25">
      <c r="A6" s="58" t="s">
        <v>155</v>
      </c>
      <c r="B6" s="59">
        <v>0.02</v>
      </c>
      <c r="C6" s="59" t="s">
        <v>113</v>
      </c>
      <c r="D6" s="59">
        <v>0.04</v>
      </c>
      <c r="E6" s="59">
        <v>0.01</v>
      </c>
      <c r="F6" s="59">
        <v>0.01</v>
      </c>
      <c r="G6" s="59">
        <v>0.09</v>
      </c>
      <c r="H6" s="59">
        <v>0.13</v>
      </c>
      <c r="I6" s="59">
        <v>0.06</v>
      </c>
      <c r="J6" s="59">
        <v>7.0000000000000007E-2</v>
      </c>
      <c r="K6" s="59" t="s">
        <v>113</v>
      </c>
      <c r="L6" s="59">
        <v>0.15</v>
      </c>
      <c r="M6" s="59">
        <v>0.04</v>
      </c>
      <c r="N6" s="59">
        <v>0.04</v>
      </c>
      <c r="O6" s="59">
        <v>0.04</v>
      </c>
      <c r="P6" s="59">
        <v>0.06</v>
      </c>
      <c r="Q6" s="59" t="s">
        <v>113</v>
      </c>
      <c r="R6" s="59">
        <v>0.06</v>
      </c>
      <c r="S6" s="59">
        <v>7.0000000000000007E-2</v>
      </c>
      <c r="T6" s="59">
        <v>0.08</v>
      </c>
      <c r="U6" s="59">
        <v>0.11</v>
      </c>
      <c r="V6" s="59">
        <v>0.05</v>
      </c>
      <c r="W6" s="59">
        <v>0.2</v>
      </c>
      <c r="X6" s="59">
        <v>0.09</v>
      </c>
      <c r="Y6" s="59">
        <v>0.14000000000000001</v>
      </c>
      <c r="Z6" s="59">
        <v>0.11</v>
      </c>
      <c r="AA6" s="59">
        <v>0.1</v>
      </c>
      <c r="AB6" s="59">
        <v>0.02</v>
      </c>
      <c r="AC6" s="59">
        <v>0.18</v>
      </c>
      <c r="AD6" s="60">
        <v>0.157</v>
      </c>
      <c r="AE6" s="59">
        <v>0.3</v>
      </c>
      <c r="AG6" t="s">
        <v>2</v>
      </c>
    </row>
    <row r="7" spans="1:33" ht="24" customHeight="1" x14ac:dyDescent="0.25">
      <c r="A7" s="58" t="s">
        <v>156</v>
      </c>
      <c r="B7" s="59" t="s">
        <v>113</v>
      </c>
      <c r="C7" s="59" t="s">
        <v>113</v>
      </c>
      <c r="D7" s="59" t="s">
        <v>113</v>
      </c>
      <c r="E7" s="59">
        <v>0.01</v>
      </c>
      <c r="F7" s="59">
        <v>0</v>
      </c>
      <c r="G7" s="59">
        <v>0.02</v>
      </c>
      <c r="H7" s="59" t="s">
        <v>113</v>
      </c>
      <c r="I7" s="59">
        <v>0.04</v>
      </c>
      <c r="J7" s="59">
        <v>0.03</v>
      </c>
      <c r="K7" s="59">
        <v>0.23</v>
      </c>
      <c r="L7" s="59">
        <v>0.03</v>
      </c>
      <c r="M7" s="59">
        <v>0.06</v>
      </c>
      <c r="N7" s="59">
        <v>0.05</v>
      </c>
      <c r="O7" s="59">
        <v>0.04</v>
      </c>
      <c r="P7" s="59">
        <v>0.09</v>
      </c>
      <c r="Q7" s="59">
        <v>0.19</v>
      </c>
      <c r="R7" s="59">
        <v>0.05</v>
      </c>
      <c r="S7" s="59">
        <v>0.09</v>
      </c>
      <c r="T7" s="59">
        <v>0.09</v>
      </c>
      <c r="U7" s="59">
        <v>0.02</v>
      </c>
      <c r="V7" s="59">
        <v>0.08</v>
      </c>
      <c r="W7" s="59">
        <v>0.1</v>
      </c>
      <c r="X7" s="59">
        <v>0.08</v>
      </c>
      <c r="Y7" s="59">
        <v>0.12</v>
      </c>
      <c r="Z7" s="59">
        <v>0.12</v>
      </c>
      <c r="AA7" s="59">
        <v>0.09</v>
      </c>
      <c r="AB7" s="59">
        <v>0.13</v>
      </c>
      <c r="AC7" s="59">
        <v>0.04</v>
      </c>
      <c r="AD7" s="60">
        <v>0.124</v>
      </c>
      <c r="AE7" s="60">
        <v>9.8000000000000004E-2</v>
      </c>
    </row>
    <row r="8" spans="1:33" ht="24" customHeight="1" x14ac:dyDescent="0.25">
      <c r="A8" s="58" t="s">
        <v>157</v>
      </c>
      <c r="B8" s="59">
        <v>0.02</v>
      </c>
      <c r="C8" s="59">
        <v>0.09</v>
      </c>
      <c r="D8" s="59">
        <v>0.03</v>
      </c>
      <c r="E8" s="59">
        <v>0.03</v>
      </c>
      <c r="F8" s="59">
        <v>0.02</v>
      </c>
      <c r="G8" s="59">
        <v>0.01</v>
      </c>
      <c r="H8" s="59" t="s">
        <v>113</v>
      </c>
      <c r="I8" s="59">
        <v>0.03</v>
      </c>
      <c r="J8" s="59">
        <v>0.04</v>
      </c>
      <c r="K8" s="59" t="s">
        <v>113</v>
      </c>
      <c r="L8" s="59">
        <v>0.09</v>
      </c>
      <c r="M8" s="59">
        <v>0.01</v>
      </c>
      <c r="N8" s="59">
        <v>0.02</v>
      </c>
      <c r="O8" s="59">
        <v>0.03</v>
      </c>
      <c r="P8" s="59">
        <v>0.03</v>
      </c>
      <c r="Q8" s="59" t="s">
        <v>113</v>
      </c>
      <c r="R8" s="59">
        <v>7.0000000000000007E-2</v>
      </c>
      <c r="S8" s="59">
        <v>0.02</v>
      </c>
      <c r="T8" s="59">
        <v>0.03</v>
      </c>
      <c r="U8" s="59">
        <v>0.14000000000000001</v>
      </c>
      <c r="V8" s="59">
        <v>0.02</v>
      </c>
      <c r="W8" s="59">
        <v>0.02</v>
      </c>
      <c r="X8" s="59">
        <v>0.04</v>
      </c>
      <c r="Y8" s="59">
        <v>0.02</v>
      </c>
      <c r="Z8" s="59">
        <v>0.02</v>
      </c>
      <c r="AA8" s="59">
        <v>0.04</v>
      </c>
      <c r="AB8" s="59">
        <v>0.19</v>
      </c>
      <c r="AC8" s="59">
        <v>0.08</v>
      </c>
      <c r="AD8" s="60">
        <v>3.5000000000000003E-2</v>
      </c>
      <c r="AE8" s="60">
        <v>5.8999999999999997E-2</v>
      </c>
    </row>
    <row r="9" spans="1:33" ht="24" customHeight="1" x14ac:dyDescent="0.25">
      <c r="A9" s="61" t="s">
        <v>158</v>
      </c>
      <c r="B9" s="62" t="s">
        <v>113</v>
      </c>
      <c r="C9" s="62" t="s">
        <v>113</v>
      </c>
      <c r="D9" s="62" t="s">
        <v>113</v>
      </c>
      <c r="E9" s="62" t="s">
        <v>113</v>
      </c>
      <c r="F9" s="62" t="s">
        <v>113</v>
      </c>
      <c r="G9" s="62" t="s">
        <v>113</v>
      </c>
      <c r="H9" s="62">
        <v>0.09</v>
      </c>
      <c r="I9" s="62" t="s">
        <v>113</v>
      </c>
      <c r="J9" s="62" t="s">
        <v>113</v>
      </c>
      <c r="K9" s="62" t="s">
        <v>113</v>
      </c>
      <c r="L9" s="62" t="s">
        <v>113</v>
      </c>
      <c r="M9" s="62">
        <v>0.06</v>
      </c>
      <c r="N9" s="62" t="s">
        <v>113</v>
      </c>
      <c r="O9" s="62">
        <v>0.04</v>
      </c>
      <c r="P9" s="62" t="s">
        <v>113</v>
      </c>
      <c r="Q9" s="62" t="s">
        <v>113</v>
      </c>
      <c r="R9" s="62">
        <v>0.17</v>
      </c>
      <c r="S9" s="62" t="s">
        <v>113</v>
      </c>
      <c r="T9" s="62" t="s">
        <v>113</v>
      </c>
      <c r="U9" s="62" t="s">
        <v>113</v>
      </c>
      <c r="V9" s="62" t="s">
        <v>113</v>
      </c>
      <c r="W9" s="62" t="s">
        <v>113</v>
      </c>
      <c r="X9" s="62">
        <v>0.04</v>
      </c>
      <c r="Y9" s="62">
        <v>0.05</v>
      </c>
      <c r="Z9" s="62" t="s">
        <v>113</v>
      </c>
      <c r="AA9" s="62" t="s">
        <v>113</v>
      </c>
      <c r="AB9" s="62" t="s">
        <v>113</v>
      </c>
      <c r="AC9" s="62">
        <v>0.04</v>
      </c>
      <c r="AD9" s="63">
        <v>5.2999999999999999E-2</v>
      </c>
      <c r="AE9" s="62">
        <v>0.04</v>
      </c>
    </row>
    <row r="10" spans="1:33" ht="24" customHeight="1" x14ac:dyDescent="0.25">
      <c r="A10" s="61" t="s">
        <v>122</v>
      </c>
      <c r="B10" s="62">
        <v>0.54</v>
      </c>
      <c r="C10" s="62">
        <v>0.62</v>
      </c>
      <c r="D10" s="62">
        <v>0.54</v>
      </c>
      <c r="E10" s="62">
        <v>0.49</v>
      </c>
      <c r="F10" s="62">
        <v>0.54</v>
      </c>
      <c r="G10" s="62">
        <v>0.49</v>
      </c>
      <c r="H10" s="62">
        <v>0.38</v>
      </c>
      <c r="I10" s="62">
        <v>0.41</v>
      </c>
      <c r="J10" s="62">
        <v>0.49</v>
      </c>
      <c r="K10" s="62">
        <v>0.4</v>
      </c>
      <c r="L10" s="62">
        <v>0.4</v>
      </c>
      <c r="M10" s="62">
        <v>0.51</v>
      </c>
      <c r="N10" s="62">
        <v>0.45</v>
      </c>
      <c r="O10" s="62">
        <v>0.39</v>
      </c>
      <c r="P10" s="62">
        <v>0.32</v>
      </c>
      <c r="Q10" s="62">
        <v>0.38</v>
      </c>
      <c r="R10" s="62">
        <v>0.28000000000000003</v>
      </c>
      <c r="S10" s="62">
        <v>0.28000000000000003</v>
      </c>
      <c r="T10" s="62">
        <v>0.28000000000000003</v>
      </c>
      <c r="U10" s="62">
        <v>0.44</v>
      </c>
      <c r="V10" s="62">
        <v>0.31</v>
      </c>
      <c r="W10" s="62">
        <v>0.28000000000000003</v>
      </c>
      <c r="X10" s="62">
        <v>0.27</v>
      </c>
      <c r="Y10" s="62">
        <v>0.3</v>
      </c>
      <c r="Z10" s="62">
        <v>0.31</v>
      </c>
      <c r="AA10" s="62">
        <v>0.24</v>
      </c>
      <c r="AB10" s="62">
        <v>0.32</v>
      </c>
      <c r="AC10" s="62">
        <v>0.17</v>
      </c>
      <c r="AD10" s="63">
        <v>0.13500000000000001</v>
      </c>
      <c r="AE10" s="62">
        <v>0.04</v>
      </c>
    </row>
    <row r="13" spans="1:33" ht="36" customHeight="1" x14ac:dyDescent="0.25">
      <c r="A13" s="45" t="s">
        <v>3</v>
      </c>
      <c r="B13" s="46" t="s">
        <v>19</v>
      </c>
      <c r="C13" s="46" t="s">
        <v>18</v>
      </c>
      <c r="D13" s="46" t="s">
        <v>17</v>
      </c>
      <c r="E13" s="46" t="s">
        <v>11</v>
      </c>
      <c r="F13" s="46" t="s">
        <v>12</v>
      </c>
      <c r="G13" s="46" t="s">
        <v>11</v>
      </c>
      <c r="H13" s="46" t="s">
        <v>12</v>
      </c>
      <c r="I13" s="46" t="s">
        <v>16</v>
      </c>
      <c r="J13" s="46" t="s">
        <v>15</v>
      </c>
      <c r="K13" s="46" t="s">
        <v>14</v>
      </c>
      <c r="L13" s="46" t="s">
        <v>9</v>
      </c>
      <c r="M13" s="46" t="s">
        <v>13</v>
      </c>
      <c r="N13" s="46" t="s">
        <v>8</v>
      </c>
      <c r="O13" s="46" t="s">
        <v>8</v>
      </c>
      <c r="P13" s="46" t="s">
        <v>12</v>
      </c>
      <c r="Q13" s="46" t="s">
        <v>11</v>
      </c>
      <c r="R13" s="46" t="s">
        <v>10</v>
      </c>
      <c r="S13" s="46" t="s">
        <v>8</v>
      </c>
      <c r="T13" s="46" t="s">
        <v>4</v>
      </c>
      <c r="U13" s="46" t="s">
        <v>9</v>
      </c>
      <c r="V13" s="46" t="s">
        <v>8</v>
      </c>
      <c r="W13" s="46" t="s">
        <v>7</v>
      </c>
      <c r="X13" s="46" t="s">
        <v>6</v>
      </c>
      <c r="Y13" s="46" t="s">
        <v>5</v>
      </c>
      <c r="Z13" s="46" t="s">
        <v>4</v>
      </c>
      <c r="AG13" t="s">
        <v>159</v>
      </c>
    </row>
    <row r="14" spans="1:33" x14ac:dyDescent="0.25">
      <c r="A14" s="55" t="s">
        <v>148</v>
      </c>
      <c r="B14" s="56">
        <v>45815</v>
      </c>
      <c r="C14" s="56">
        <v>45894</v>
      </c>
      <c r="D14" s="56">
        <v>45907</v>
      </c>
      <c r="E14" s="56">
        <v>45916</v>
      </c>
      <c r="F14" s="56">
        <v>45945</v>
      </c>
      <c r="G14" s="56">
        <v>46066</v>
      </c>
      <c r="H14" s="56">
        <v>46074</v>
      </c>
      <c r="I14" s="56">
        <v>46110</v>
      </c>
      <c r="J14" s="56">
        <v>46108</v>
      </c>
      <c r="K14" s="56">
        <v>46115</v>
      </c>
      <c r="L14" s="56">
        <v>46096</v>
      </c>
      <c r="M14" s="56">
        <v>46143</v>
      </c>
      <c r="N14" s="56">
        <v>46155</v>
      </c>
      <c r="O14" s="56">
        <v>46212</v>
      </c>
      <c r="P14" s="56">
        <v>46211</v>
      </c>
      <c r="Q14" s="56">
        <v>46223</v>
      </c>
      <c r="R14" s="56">
        <v>46244</v>
      </c>
      <c r="S14" s="56">
        <v>46272</v>
      </c>
      <c r="T14" s="56">
        <v>46280</v>
      </c>
      <c r="U14" s="56">
        <v>46279</v>
      </c>
      <c r="V14" s="56">
        <v>46290</v>
      </c>
      <c r="W14" s="56">
        <v>46293</v>
      </c>
      <c r="X14" s="56">
        <v>46293</v>
      </c>
      <c r="Y14" s="56">
        <v>46293</v>
      </c>
      <c r="Z14" s="56">
        <v>46300</v>
      </c>
    </row>
    <row r="15" spans="1:33" x14ac:dyDescent="0.25">
      <c r="A15" s="55" t="s">
        <v>150</v>
      </c>
      <c r="B15" s="56">
        <v>45818</v>
      </c>
      <c r="C15" s="56">
        <v>45896</v>
      </c>
      <c r="D15" s="56">
        <v>45909</v>
      </c>
      <c r="E15" s="56">
        <v>45918</v>
      </c>
      <c r="F15" s="56">
        <v>45955</v>
      </c>
      <c r="G15" s="56">
        <v>46069</v>
      </c>
      <c r="H15" s="56">
        <v>46083</v>
      </c>
      <c r="I15" s="56">
        <v>46112</v>
      </c>
      <c r="J15" s="56">
        <v>46115</v>
      </c>
      <c r="K15" s="56">
        <v>46121</v>
      </c>
      <c r="L15" s="56">
        <v>46125</v>
      </c>
      <c r="M15" s="56">
        <v>46151</v>
      </c>
      <c r="N15" s="56">
        <v>46158</v>
      </c>
      <c r="O15" s="56">
        <v>46214</v>
      </c>
      <c r="P15" s="56">
        <v>46220</v>
      </c>
      <c r="Q15" s="56">
        <v>46229</v>
      </c>
      <c r="R15" s="56">
        <v>46247</v>
      </c>
      <c r="S15" s="56">
        <v>46274</v>
      </c>
      <c r="T15" s="56">
        <v>46282</v>
      </c>
      <c r="U15" s="56">
        <v>46286</v>
      </c>
      <c r="V15" s="56">
        <v>46292</v>
      </c>
      <c r="W15" s="56">
        <v>46296</v>
      </c>
      <c r="X15" s="56">
        <v>46299</v>
      </c>
      <c r="Y15" s="56">
        <v>46300</v>
      </c>
      <c r="Z15" s="56">
        <v>46302</v>
      </c>
    </row>
    <row r="16" spans="1:33" ht="43.5" customHeight="1" x14ac:dyDescent="0.25">
      <c r="A16" s="55" t="s">
        <v>151</v>
      </c>
      <c r="B16" s="57" t="s">
        <v>152</v>
      </c>
      <c r="C16" s="57" t="s">
        <v>152</v>
      </c>
      <c r="D16" s="57" t="s">
        <v>152</v>
      </c>
      <c r="E16" s="57" t="s">
        <v>153</v>
      </c>
      <c r="F16" s="57" t="s">
        <v>152</v>
      </c>
      <c r="G16" s="57" t="s">
        <v>152</v>
      </c>
      <c r="H16" s="57" t="s">
        <v>152</v>
      </c>
      <c r="I16" s="57" t="s">
        <v>152</v>
      </c>
      <c r="J16" s="57" t="s">
        <v>152</v>
      </c>
      <c r="K16" s="57" t="s">
        <v>152</v>
      </c>
      <c r="L16" s="57" t="s">
        <v>152</v>
      </c>
      <c r="M16" s="57" t="s">
        <v>152</v>
      </c>
      <c r="N16" s="57" t="s">
        <v>152</v>
      </c>
      <c r="O16" s="57" t="s">
        <v>153</v>
      </c>
      <c r="P16" s="57" t="s">
        <v>152</v>
      </c>
      <c r="Q16" s="57" t="s">
        <v>152</v>
      </c>
      <c r="R16" s="57" t="s">
        <v>152</v>
      </c>
      <c r="S16" s="57" t="s">
        <v>152</v>
      </c>
      <c r="T16" s="57" t="s">
        <v>152</v>
      </c>
      <c r="U16" s="57" t="s">
        <v>152</v>
      </c>
      <c r="V16" s="57" t="s">
        <v>152</v>
      </c>
      <c r="W16" s="57" t="s">
        <v>152</v>
      </c>
      <c r="X16" s="57" t="s">
        <v>152</v>
      </c>
      <c r="Y16" s="57" t="s">
        <v>152</v>
      </c>
      <c r="Z16" s="57" t="s">
        <v>152</v>
      </c>
    </row>
    <row r="17" spans="1:26" ht="24" customHeight="1" x14ac:dyDescent="0.25">
      <c r="A17" s="64" t="s">
        <v>160</v>
      </c>
      <c r="B17" s="65">
        <v>0.31</v>
      </c>
      <c r="C17" s="65">
        <v>0.41</v>
      </c>
      <c r="D17" s="65">
        <v>0.41</v>
      </c>
      <c r="E17" s="65">
        <v>0.32</v>
      </c>
      <c r="F17" s="65">
        <v>0.34</v>
      </c>
      <c r="G17" s="65">
        <v>0.36</v>
      </c>
      <c r="H17" s="65">
        <v>0.36</v>
      </c>
      <c r="I17" s="65">
        <v>0.39400000000000002</v>
      </c>
      <c r="J17" s="65">
        <v>0.40500000000000003</v>
      </c>
      <c r="K17" s="65">
        <v>0.43</v>
      </c>
      <c r="L17" s="65">
        <v>0.4</v>
      </c>
      <c r="M17" s="65">
        <v>0.39</v>
      </c>
      <c r="N17" s="65">
        <v>0.46</v>
      </c>
      <c r="O17" s="65">
        <v>0.37</v>
      </c>
      <c r="P17" s="65">
        <v>0.41</v>
      </c>
      <c r="Q17" s="65">
        <v>0.38</v>
      </c>
      <c r="R17" s="65">
        <v>0.46</v>
      </c>
      <c r="S17" s="65">
        <v>0.47</v>
      </c>
      <c r="T17" s="65">
        <v>0.434</v>
      </c>
      <c r="U17" s="65">
        <v>0.39</v>
      </c>
      <c r="V17" s="65">
        <v>0.48</v>
      </c>
      <c r="W17" s="65">
        <v>0.41</v>
      </c>
      <c r="X17" s="65">
        <v>0.42</v>
      </c>
      <c r="Y17" s="65">
        <v>0.45</v>
      </c>
      <c r="Z17" s="65">
        <v>0.44600000000000001</v>
      </c>
    </row>
    <row r="18" spans="1:26" ht="24" customHeight="1" x14ac:dyDescent="0.25">
      <c r="A18" s="58" t="s">
        <v>154</v>
      </c>
      <c r="B18" s="60">
        <v>0.37</v>
      </c>
      <c r="C18" s="60">
        <v>0.49</v>
      </c>
      <c r="D18" s="60">
        <v>0.4</v>
      </c>
      <c r="E18" s="60">
        <v>0.36</v>
      </c>
      <c r="F18" s="60">
        <v>0.45</v>
      </c>
      <c r="G18" s="60">
        <v>0.41</v>
      </c>
      <c r="H18" s="60">
        <v>0.42</v>
      </c>
      <c r="I18" s="60">
        <v>0.442</v>
      </c>
      <c r="J18" s="60">
        <v>0.41199999999999998</v>
      </c>
      <c r="K18" s="60">
        <v>0.49</v>
      </c>
      <c r="L18" s="60">
        <v>0.47</v>
      </c>
      <c r="M18" s="60">
        <v>0.47</v>
      </c>
      <c r="N18" s="60">
        <v>0.42</v>
      </c>
      <c r="O18" s="60">
        <v>0.37</v>
      </c>
      <c r="P18" s="60">
        <v>0.46</v>
      </c>
      <c r="Q18" s="60">
        <v>0.45</v>
      </c>
      <c r="R18" s="60">
        <v>0.45</v>
      </c>
      <c r="S18" s="60">
        <v>0.44</v>
      </c>
      <c r="T18" s="60">
        <v>0.435</v>
      </c>
      <c r="U18" s="60">
        <v>0.51</v>
      </c>
      <c r="V18" s="60">
        <v>0.46</v>
      </c>
      <c r="W18" s="60">
        <v>0.48</v>
      </c>
      <c r="X18" s="60">
        <v>0.52</v>
      </c>
      <c r="Y18" s="60">
        <v>0.47</v>
      </c>
      <c r="Z18" s="60">
        <v>0.44700000000000001</v>
      </c>
    </row>
    <row r="19" spans="1:26" ht="24" customHeight="1" x14ac:dyDescent="0.25">
      <c r="A19" s="61" t="s">
        <v>49</v>
      </c>
      <c r="B19" s="63">
        <v>0.32</v>
      </c>
      <c r="C19" s="63">
        <v>0.1</v>
      </c>
      <c r="D19" s="63">
        <v>0.19</v>
      </c>
      <c r="E19" s="63">
        <v>0.32</v>
      </c>
      <c r="F19" s="63">
        <v>0.21</v>
      </c>
      <c r="G19" s="63">
        <v>0.23</v>
      </c>
      <c r="H19" s="63">
        <v>0.22</v>
      </c>
      <c r="I19" s="63">
        <v>0.16400000000000001</v>
      </c>
      <c r="J19" s="63">
        <v>0.183</v>
      </c>
      <c r="K19" s="63">
        <v>0.08</v>
      </c>
      <c r="L19" s="63">
        <v>0.13</v>
      </c>
      <c r="M19" s="63">
        <v>0.14000000000000001</v>
      </c>
      <c r="N19" s="63">
        <v>0.12</v>
      </c>
      <c r="O19" s="63">
        <v>0.26</v>
      </c>
      <c r="P19" s="63">
        <v>0.13</v>
      </c>
      <c r="Q19" s="63">
        <v>0.17</v>
      </c>
      <c r="R19" s="63">
        <v>0.09</v>
      </c>
      <c r="S19" s="63">
        <v>0.09</v>
      </c>
      <c r="T19" s="63">
        <v>0.13100000000000001</v>
      </c>
      <c r="U19" s="63">
        <v>0.1</v>
      </c>
      <c r="V19" s="63">
        <v>0.06</v>
      </c>
      <c r="W19" s="63">
        <v>0.11</v>
      </c>
      <c r="X19" s="63">
        <v>0.06</v>
      </c>
      <c r="Y19" s="63">
        <v>0.08</v>
      </c>
      <c r="Z19" s="63">
        <v>0.107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Gobernador Florida</vt:lpstr>
      <vt:lpstr>Apuestas</vt:lpstr>
      <vt:lpstr>Histórico 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CASIOPEA 2024 GOB</cp:lastModifiedBy>
  <cp:revision>0</cp:revision>
  <dcterms:created xsi:type="dcterms:W3CDTF">2026-10-09T20:58:58Z</dcterms:created>
  <dcterms:modified xsi:type="dcterms:W3CDTF">2026-10-09T23:17:04Z</dcterms:modified>
  <dc:language>en-US</dc:language>
</cp:coreProperties>
</file>