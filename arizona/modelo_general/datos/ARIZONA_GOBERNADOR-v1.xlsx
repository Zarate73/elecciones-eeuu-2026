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9565658ce3cbf34/Dokumente/encuestas gubernaturas eu/"/>
    </mc:Choice>
  </mc:AlternateContent>
  <xr:revisionPtr revIDLastSave="0" documentId="8_{79C8619B-726B-48FD-B909-7889A92C95F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obernador Arizona" sheetId="1" r:id="rId1"/>
    <sheet name="Apuestas" sheetId="2" r:id="rId2"/>
    <sheet name="Histórico encues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E19" i="1"/>
  <c r="D19" i="1"/>
  <c r="C19" i="1"/>
  <c r="B19" i="1"/>
  <c r="C18" i="1"/>
  <c r="B18" i="1"/>
  <c r="D17" i="1"/>
  <c r="D18" i="1" s="1"/>
  <c r="C17" i="1"/>
  <c r="B17" i="1"/>
  <c r="E16" i="1"/>
  <c r="E15" i="1"/>
  <c r="E17" i="1" s="1"/>
  <c r="E18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R8" i="1"/>
  <c r="Q8" i="1"/>
  <c r="P8" i="1"/>
  <c r="O8" i="1"/>
  <c r="M8" i="1"/>
  <c r="L8" i="1"/>
  <c r="K8" i="1"/>
  <c r="B8" i="1"/>
  <c r="Y7" i="1"/>
  <c r="X7" i="1"/>
  <c r="X8" i="1" s="1"/>
  <c r="W7" i="1"/>
  <c r="W8" i="1" s="1"/>
  <c r="V7" i="1"/>
  <c r="V8" i="1" s="1"/>
  <c r="U7" i="1"/>
  <c r="U8" i="1" s="1"/>
  <c r="T7" i="1"/>
  <c r="T8" i="1" s="1"/>
  <c r="S7" i="1"/>
  <c r="S8" i="1" s="1"/>
  <c r="R7" i="1"/>
  <c r="Q7" i="1"/>
  <c r="P7" i="1"/>
  <c r="O7" i="1"/>
  <c r="N7" i="1"/>
  <c r="N8" i="1" s="1"/>
  <c r="M7" i="1"/>
  <c r="L7" i="1"/>
  <c r="K7" i="1"/>
  <c r="J7" i="1"/>
  <c r="J8" i="1" s="1"/>
  <c r="I7" i="1"/>
  <c r="I8" i="1" s="1"/>
  <c r="H7" i="1"/>
  <c r="H8" i="1" s="1"/>
  <c r="G7" i="1"/>
  <c r="G8" i="1" s="1"/>
  <c r="F7" i="1"/>
  <c r="F8" i="1" s="1"/>
  <c r="E7" i="1"/>
  <c r="E8" i="1" s="1"/>
  <c r="D7" i="1"/>
  <c r="D8" i="1" s="1"/>
  <c r="C7" i="1"/>
  <c r="C8" i="1" s="1"/>
  <c r="B7" i="1"/>
  <c r="Y6" i="1"/>
  <c r="Y5" i="1"/>
  <c r="Y8" i="1" s="1"/>
  <c r="Y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Fuente: https://www.predictionedge.com/elections/governor/arizona-race-winner-by-party/
Consulta: 09/10/2026.
GQR (D). Levantamiento: 2026-09-30 a 2026-10-05. Muestra: n.d.. Margen: n.d..
Hobbs: 49%; Biggs: 45%.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>Fuente: https://www.predictionedge.com/elections/governor/arizona-race-winner-by-party/
Consulta: 09/10/2026.
Equis Research (D). Levantamiento: 2026-09-01 a 2026-09-09. Muestra: n.d.. Margen: n.d..
Hobbs: 49%; Biggs: 43%.</t>
        </r>
      </text>
    </comment>
    <comment ref="D3" authorId="0" shapeId="0" xr:uid="{00000000-0006-0000-0000-000006000000}">
      <text>
        <r>
          <rPr>
            <sz val="10"/>
            <rFont val="Arial"/>
            <family val="2"/>
          </rPr>
          <t>Fuente: https://www.realclearpolling.com/polls/governor/general/2026/arizona/hobbs-vs-biggs
Consulta: 09/10/2026.
BSP Research / ASU. Levantamiento: 2026-08-18 a 2026-09-04. Muestra: n.d. (LV). Margen: n.d..
Hobbs: 47%; Biggs: 34%. RCP lo lista como "Arizona State". Lombardo (Verde): 1%.</t>
        </r>
      </text>
    </comment>
    <comment ref="E3" authorId="0" shapeId="0" xr:uid="{00000000-0006-0000-0000-000008000000}">
      <text>
        <r>
          <rPr>
            <sz val="10"/>
            <rFont val="Arial"/>
            <family val="2"/>
          </rPr>
          <t>Fuente: https://www.270towin.com/2026-governor-polls/arizona
Consulta: 09/10/2026.
NextGen Polling (R). Levantamiento: 2026-08-17 a 2026-08-19. Muestra: 1,627 (RV). Margen: ± 2.6%.
Hobbs: 39%; Biggs: 38%. PredictionEdge reporta Biggs 37.5%.</t>
        </r>
      </text>
    </comment>
    <comment ref="F3" authorId="0" shapeId="0" xr:uid="{00000000-0006-0000-0000-000009000000}">
      <text>
        <r>
          <rPr>
            <sz val="10"/>
            <rFont val="Arial"/>
            <family val="2"/>
          </rPr>
          <t>Fuente: https://ktar.com/arizona-politics-news/election/poll-katie-hobbs-lead-andy-biggs
Consulta: 09/10/2026.
HighGround. Levantamiento: 2026-08-15 a 2026-08-18. Muestra: 400 (LV). Margen: ± 4.9%.
Hobbs: 49.5%; Biggs: 34.3%.</t>
        </r>
      </text>
    </comment>
    <comment ref="G3" authorId="0" shapeId="0" xr:uid="{00000000-0006-0000-0000-00000B000000}">
      <text>
        <r>
          <rPr>
            <sz val="10"/>
            <rFont val="Arial"/>
            <family val="2"/>
          </rPr>
          <t>Fuente: https://www.newsweek.com/trump-unpopularity-andy-biggs-arizona-12357310
Consulta: 09/10/2026.
Quantus Insights. Levantamiento: 2026-08-14 a 2026-08-17. Muestra: 780 (LV). Margen: ± 4.1%.
Hobbs: 49.1%; Biggs: 43.2%. Indecisos: 6%.</t>
        </r>
      </text>
    </comment>
    <comment ref="H3" authorId="0" shapeId="0" xr:uid="{00000000-0006-0000-0000-00000D000000}">
      <text>
        <r>
          <rPr>
            <sz val="10"/>
            <rFont val="Arial"/>
            <family val="2"/>
          </rPr>
          <t>Fuente: https://uspollingdata.com/races/governor/arizona/
Consulta: 09/10/2026.
Kreate Strategies (R). Levantamiento: 2026-08-13 a 2026-08-16. Muestra: 900 (LV). Margen: n.d..
Hobbs: 45%; Biggs: 40%.</t>
        </r>
      </text>
    </comment>
    <comment ref="I3" authorId="0" shapeId="0" xr:uid="{00000000-0006-0000-0000-00000F000000}">
      <text>
        <r>
          <rPr>
            <sz val="10"/>
            <rFont val="Arial"/>
            <family val="2"/>
          </rPr>
          <t>Fuente: https://www.270towin.com/2026-governor-polls/arizona
Consulta: 09/10/2026.
Stealth Analytics. Levantamiento: 2026-08-11 a 2026-08-13. Muestra: 530 (LV). Margen: ± 4.3%.
Hobbs: 43%; Biggs: 38%.</t>
        </r>
      </text>
    </comment>
    <comment ref="J3" authorId="0" shapeId="0" xr:uid="{00000000-0006-0000-0000-000011000000}">
      <text>
        <r>
          <rPr>
            <sz val="10"/>
            <rFont val="Arial"/>
            <family val="2"/>
          </rPr>
          <t>Fuente: https://www.noblepredictiveinsights.com/post/katie-hobbs-leads-andy-biggs-in-the-grand-canyon-state
Consulta: 09/10/2026.
Noble Predictive Insights. Levantamiento: 2026-08-10 a 2026-08-13. Muestra: 923 (LV). Margen: ± 3.2%.
Hobbs: 48%; Biggs: 35%. Otros: 4%; Indecisos: 12%.</t>
        </r>
      </text>
    </comment>
    <comment ref="K3" authorId="0" shapeId="0" xr:uid="{00000000-0006-0000-0000-000013000000}">
      <text>
        <r>
          <rPr>
            <sz val="10"/>
            <rFont val="Arial"/>
            <family val="2"/>
          </rPr>
          <t>Fuente: https://www.predictionedge.com/elections/governor/arizona-race-winner-by-party/
Consulta: 09/10/2026.
GrayHouse (R). Levantamiento: 2026-08-09 a 2026-08-11. Muestra: n.d.. Margen: n.d..
Hobbs: 49%; Biggs: 45%.</t>
        </r>
      </text>
    </comment>
    <comment ref="L3" authorId="0" shapeId="0" xr:uid="{00000000-0006-0000-0000-000015000000}">
      <text>
        <r>
          <rPr>
            <sz val="10"/>
            <rFont val="Arial"/>
            <family val="2"/>
          </rPr>
          <t>Fuente: https://uspollingdata.com/races/governor/arizona/
Consulta: 09/10/2026.
Tarrance Group (R). Levantamiento: 2026-07-27 a 2026-07-30. Muestra: 600 (LV). Margen: n.d..
Hobbs: 52%; Biggs: 48%. Cifras reportadas sin indecisos.</t>
        </r>
      </text>
    </comment>
    <comment ref="M3" authorId="0" shapeId="0" xr:uid="{00000000-0006-0000-0000-000017000000}">
      <text>
        <r>
          <rPr>
            <sz val="10"/>
            <rFont val="Arial"/>
            <family val="2"/>
          </rPr>
          <t>Fuente: https://www.fox10phoenix.com/election/2026-election-hobbs-leads-biggs-aarp-commissioned-poll-arizona-governors-race
Consulta: 09/10/2026.
Fabrizio Ward / Impact Research — AARP. Levantamiento: 2026-07-26 a 2026-07-28. Muestra: 913 (LV). Margen: ± 3.2%.
Hobbs: 52%; Biggs: 44%.</t>
        </r>
      </text>
    </comment>
    <comment ref="N3" authorId="0" shapeId="0" xr:uid="{00000000-0006-0000-0000-000019000000}">
      <text>
        <r>
          <rPr>
            <sz val="10"/>
            <rFont val="Arial"/>
            <family val="2"/>
          </rPr>
          <t>Fuente: https://en.wikipedia.org/wiki/2026_Arizona_gubernatorial_election#Polling
Consulta: 09/10/2026.
Noble Predictive Insights. Levantamiento: 2026-05-05 a 2026-05-07. Muestra: 996 (RV). Margen: ± 3.1%.
Hobbs: 41%; Biggs: 37%. Otros: 6%; Indecisos: 16%.</t>
        </r>
      </text>
    </comment>
    <comment ref="O3" authorId="0" shapeId="0" xr:uid="{00000000-0006-0000-0000-00001B000000}">
      <text>
        <r>
          <rPr>
            <sz val="10"/>
            <rFont val="Arial"/>
            <family val="2"/>
          </rPr>
          <t>Fuente: https://en.wikipedia.org/wiki/2026_Arizona_gubernatorial_election#Polling
Consulta: 09/10/2026.
TIPP Insights (R). Levantamiento: 2026-04-20 a 2026-04-24. Muestra: 1,159 (LV). Margen: ± 3.2%.
Hobbs: 48%; Biggs: 38%. Otros: 2%; Indecisos: 12%. Entre registrados (1,501 RV): 45–35.</t>
        </r>
      </text>
    </comment>
    <comment ref="P3" authorId="0" shapeId="0" xr:uid="{00000000-0006-0000-0000-00001D000000}">
      <text>
        <r>
          <rPr>
            <sz val="10"/>
            <rFont val="Arial"/>
            <family val="2"/>
          </rPr>
          <t>Fuente: https://www.realclearpolling.com/polls/governor/general/2026/arizona/hobbs-vs-biggs
Consulta: 09/10/2026.
Noble Predictive Insights. Levantamiento: 2026-02-23 a 2026-02-26. Muestra: 1,023 (RV). Margen: ± 3.1%.
Hobbs: 42%; Biggs: 37%. Wikipedia reporta Biggs 35%; RCP, 270toWin y KTAR reportan 37%.</t>
        </r>
      </text>
    </comment>
    <comment ref="Q3" authorId="0" shapeId="0" xr:uid="{00000000-0006-0000-0000-00001F000000}">
      <text>
        <r>
          <rPr>
            <sz val="10"/>
            <rFont val="Arial"/>
            <family val="2"/>
          </rPr>
          <t>Fuente: https://en.wikipedia.org/wiki/2026_Arizona_gubernatorial_election#Polling
Consulta: 09/10/2026.
Center for Excellence in Polling. Levantamiento: 2026-01-22 a 2026-01-24. Muestra: 519 (LV). Margen: ± 4.3%.
Hobbs: 50%; Biggs: 41%. Indecisos: 9%.</t>
        </r>
      </text>
    </comment>
    <comment ref="R3" authorId="0" shapeId="0" xr:uid="{00000000-0006-0000-0000-000021000000}">
      <text>
        <r>
          <rPr>
            <sz val="10"/>
            <rFont val="Arial"/>
            <family val="2"/>
          </rPr>
          <t>Fuente: https://en.wikipedia.org/wiki/2026_Arizona_gubernatorial_election#Polling
Consulta: 09/10/2026.
NextGen P (R). Levantamiento: 2025-12-15 a 2025-12-17. Muestra: 2,725 (LV). Margen: ± 1.9%.
Hobbs: 51%; Biggs: 32%. Otros: 7%; Indecisos: 9%.</t>
        </r>
      </text>
    </comment>
    <comment ref="S3" authorId="0" shapeId="0" xr:uid="{00000000-0006-0000-0000-000023000000}">
      <text>
        <r>
          <rPr>
            <sz val="10"/>
            <rFont val="Arial"/>
            <family val="2"/>
          </rPr>
          <t>Fuente: https://emersoncollegepolling.com/arizona-2026-governor/
Consulta: 09/10/2026.
Emerson College. Levantamiento: 2025-11-08 a 2025-11-10. Muestra: 850 (RV). Margen: ± 3.3%.
Hobbs: 44%; Biggs: 43%. Indecisos: 13%.</t>
        </r>
      </text>
    </comment>
    <comment ref="T3" authorId="0" shapeId="0" xr:uid="{00000000-0006-0000-0000-000025000000}">
      <text>
        <r>
          <rPr>
            <sz val="10"/>
            <rFont val="Arial"/>
            <family val="2"/>
          </rPr>
          <t>Fuente: https://en.wikipedia.org/wiki/2026_Arizona_gubernatorial_election#Polling
Consulta: 09/10/2026.
Noble Predictive Insights. Levantamiento: 2025-08-11 a 2025-08-18. Muestra: 948 (RV). Margen: ± 3.2%.
Hobbs: 39%; Biggs: 37%. Otros: 4%; Indecisos: 20%.</t>
        </r>
      </text>
    </comment>
    <comment ref="U3" authorId="0" shapeId="0" xr:uid="{00000000-0006-0000-0000-000027000000}">
      <text>
        <r>
          <rPr>
            <sz val="10"/>
            <rFont val="Arial"/>
            <family val="2"/>
          </rPr>
          <t>Fuente: https://en.wikipedia.org/wiki/2026_Arizona_gubernatorial_election#Polling
Consulta: 09/10/2026.
Noble Predictive Insights. Levantamiento: 2025-05-12 a 2025-05-16. Muestra: 1,026 (RV). Margen: ± 3.1%.
Hobbs: 40%; Biggs: 38%. Otros: 5%; Indecisos: 17%.</t>
        </r>
      </text>
    </comment>
    <comment ref="V3" authorId="0" shapeId="0" xr:uid="{00000000-0006-0000-0000-000029000000}">
      <text>
        <r>
          <rPr>
            <sz val="10"/>
            <rFont val="Arial"/>
            <family val="2"/>
          </rPr>
          <t>Fuente: https://en.wikipedia.org/wiki/2026_Arizona_gubernatorial_election#Polling
Consulta: 09/10/2026.
Pulse Decision Science (R). Levantamiento: 2025-04-06 a 2025-04-09. Muestra: 501 (LV). Margen: ± 4.4%.
Hobbs: 46%; Biggs: 42%. Indecisos: 12%.</t>
        </r>
      </text>
    </comment>
    <comment ref="W3" authorId="0" shapeId="0" xr:uid="{00000000-0006-0000-0000-00002A000000}">
      <text>
        <r>
          <rPr>
            <sz val="10"/>
            <rFont val="Arial"/>
            <family val="2"/>
          </rPr>
          <t>Fuente: https://en.wikipedia.org/wiki/2026_Arizona_gubernatorial_election#Polling
Consulta: 09/10/2026.
Noble Predictive Insights. Levantamiento: 2025-02-11 a 2025-02-13. Muestra: 1,006 (RV). Margen: ± 3.1%.
Hobbs: 40%; Biggs: 38%. Otros: 5%; Indecisos: 17%.</t>
        </r>
      </text>
    </comment>
    <comment ref="X3" authorId="0" shapeId="0" xr:uid="{00000000-0006-0000-0000-00002B000000}">
      <text>
        <r>
          <rPr>
            <sz val="10"/>
            <rFont val="Arial"/>
            <family val="2"/>
          </rPr>
          <t>Fuente: https://en.wikipedia.org/wiki/2026_Arizona_gubernatorial_election#Polling
Consulta: 09/10/2026.
Kreate Strategies (R). Levantamiento: 2025-02-05 a 2025-02-07. Muestra: 924 (LV). Margen: ± 3.0%.
Hobbs: 43%; Biggs: 44%. Indecisos: 13%.</t>
        </r>
      </text>
    </comment>
    <comment ref="B13" authorId="0" shapeId="0" xr:uid="{00000000-0006-0000-0000-000002000000}">
      <text>
        <r>
          <rPr>
            <sz val="10"/>
            <rFont val="Arial"/>
            <family val="2"/>
          </rPr>
          <t>Fuente: https://www.realclearpolling.com/polls/governor/general/2026/arizona/hobbs-vs-biggs
Consulta: 09/10/2026.
Promedio Hobbs 49.2% vs. Biggs 38.0%. Periodo: 26 jul–04 sep 2026.</t>
        </r>
      </text>
    </comment>
    <comment ref="C13" authorId="0" shapeId="0" xr:uid="{00000000-0006-0000-0000-000004000000}">
      <text>
        <r>
          <rPr>
            <sz val="10"/>
            <rFont val="Arial"/>
            <family val="2"/>
          </rPr>
          <t>Fuente: https://www.270towin.com/2026-governor-polls/arizona
Consulta: 09/10/2026.
Promedio Hobbs 45.8% vs. Biggs 37.6%. Periodo: ago 2026 (promedio reciente).</t>
        </r>
      </text>
    </comment>
    <comment ref="D13" authorId="0" shapeId="0" xr:uid="{00000000-0006-0000-0000-000007000000}">
      <text>
        <r>
          <rPr>
            <sz val="10"/>
            <rFont val="Arial"/>
            <family val="2"/>
          </rPr>
          <t>Fuente: https://www.predictionedge.com/elections/governor/arizona-race-winner-by-party/
Consulta: 09/10/2026.
Promedio Hobbs 47.6% vs. Biggs 40.6%. Periodo: hasta 05 oct 2026.</t>
        </r>
      </text>
    </comment>
    <comment ref="C24" authorId="0" shapeId="0" xr:uid="{00000000-0006-0000-0000-000005000000}">
      <text>
        <r>
          <rPr>
            <sz val="10"/>
            <rFont val="Arial"/>
            <family val="2"/>
          </rPr>
          <t>Fuente: Decision Desk HQ, resultados primaria republicana 21/07/2026 (actualizado 29/07/2026). https://votes.decisiondeskhq.com/races/2026-07-21/arizona-governor-republican-primary
Consulta: 09/10/2026.
Total: 612,899 votos. Biggs 74.03%, Schweikert 14.40%, Neely 6.99%, Miceli 4.57%.</t>
        </r>
      </text>
    </comment>
    <comment ref="F24" authorId="0" shapeId="0" xr:uid="{00000000-0006-0000-0000-00000A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NextGen P (R). Levantamiento: 2026-06-16 a 2026-06-17. Muestra: 1,683 (LV). Margen: ± 2.5%.
Biggs: 57%; Taylor Robson: n.d.; Schweikert: 11%; Otros: 5%; Indecisos: 27%. Los guiones o datos ausentes se conservan como n.d.; no son ceros.</t>
        </r>
      </text>
    </comment>
    <comment ref="G24" authorId="0" shapeId="0" xr:uid="{00000000-0006-0000-0000-00000C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Stealth Analytics. Levantamiento: 2026-05-13 a 2026-05-15. Muestra: 1,100 (LV). Margen: ± 3.0%.
Biggs: 55%; Taylor Robson: n.d.; Schweikert: 9%; Otros: 2%; Indecisos: 34%. Los guiones o datos ausentes se conservan como n.d.; no son ceros.</t>
        </r>
      </text>
    </comment>
    <comment ref="H24" authorId="0" shapeId="0" xr:uid="{00000000-0006-0000-0000-00000E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Noble Predictive Insights. Levantamiento: 2026-05-05 a 2026-05-07. Muestra: 375 (RV). Margen: ± 5.0%.
Biggs: 48%; Taylor Robson: n.d.; Schweikert: 18%; Otros: n.d.; Indecisos: 34%. Los guiones o datos ausentes se conservan como n.d.; no son ceros.</t>
        </r>
      </text>
    </comment>
    <comment ref="I24" authorId="0" shapeId="0" xr:uid="{00000000-0006-0000-0000-000010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NextGen P (R). Levantamiento: 2026-04-13 a 2026-04-16. Muestra: 1,255 (LV). Margen: ± 2.7%.
Biggs: 52%; Taylor Robson: n.d.; Schweikert: 10%; Otros: 3%; Indecisos: 35%. Los guiones o datos ausentes se conservan como n.d.; no son ceros.</t>
        </r>
      </text>
    </comment>
    <comment ref="J24" authorId="0" shapeId="0" xr:uid="{00000000-0006-0000-0000-000012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Noble Predictive Insights. Levantamiento: 2026-02-23 a 2026-02-26. Muestra: 384 (RV). Margen: ± 5.0%.
Biggs: 40%; Taylor Robson: n.d.; Schweikert: 19%; Otros: n.d.; Indecisos: 41%. Los guiones o datos ausentes se conservan como n.d.; no son ceros.</t>
        </r>
      </text>
    </comment>
    <comment ref="K24" authorId="0" shapeId="0" xr:uid="{00000000-0006-0000-0000-000014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Center for Excellence in Polling. Levantamiento: 2026-01-22 a 2026-01-24. Muestra: n.d. (LV). Margen: n.d..
Biggs: 28%; Taylor Robson: 19%; Schweikert: 12%; Otros: n.d.; Indecisos: 41%. Los guiones o datos ausentes se conservan como n.d.; no son ceros.</t>
        </r>
      </text>
    </comment>
    <comment ref="L24" authorId="0" shapeId="0" xr:uid="{00000000-0006-0000-0000-000016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Emerson College. Levantamiento: 2025-11-08 a 2025-11-10. Muestra: 381 (RV). Margen: ± 5.0%.
Biggs: 50%; Taylor Robson: 17%; Schweikert: 8%; Otros: 1%; Indecisos: 24%. Los guiones o datos ausentes se conservan como n.d.; no son ceros.</t>
        </r>
      </text>
    </comment>
    <comment ref="M24" authorId="0" shapeId="0" xr:uid="{00000000-0006-0000-0000-000018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GrayHouse (R). Levantamiento: 2025-10-26 a 2025-10-28. Muestra: 397 (LV). Margen: ± 3.6%.
Biggs: 43%; Taylor Robson: 19%; Schweikert: 2%; Otros: n.d.; Indecisos: 36%. Los guiones o datos ausentes se conservan como n.d.; no son ceros.</t>
        </r>
      </text>
    </comment>
    <comment ref="N24" authorId="0" shapeId="0" xr:uid="{00000000-0006-0000-0000-00001A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Pulse Decision Science (R). Levantamiento: 2025-09-08 a 2025-09-10. Muestra: 502 (LV). Margen: ± 4.4%.
Biggs: 48%; Taylor Robson: 26%; Schweikert: 11%; Otros: n.d.; Indecisos: 15%. Los guiones o datos ausentes se conservan como n.d.; no son ceros.</t>
        </r>
      </text>
    </comment>
    <comment ref="O24" authorId="0" shapeId="0" xr:uid="{00000000-0006-0000-0000-00001C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Kreate Strategies (R). Levantamiento: 2025-08-19 a 2025-08-21. Muestra: 679 (RV). Margen: n.d..
Biggs: 65%; Taylor Robson: 14%; Schweikert: n.d.; Otros: n.d.; Indecisos: 21%. Los guiones o datos ausentes se conservan como n.d.; no son ceros.</t>
        </r>
      </text>
    </comment>
    <comment ref="P24" authorId="0" shapeId="0" xr:uid="{00000000-0006-0000-0000-00001E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Noble Predictive Insights. Levantamiento: 2025-08-11 a 2025-08-18. Muestra: 385 (RV). Margen: ± 5.0%.
Biggs: 27%; Taylor Robson: 37%; Schweikert: n.d.; Otros: n.d.; Indecisos: 36%. Los guiones o datos ausentes se conservan como n.d.; no son ceros.</t>
        </r>
      </text>
    </comment>
    <comment ref="Q24" authorId="0" shapeId="0" xr:uid="{00000000-0006-0000-0000-000020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NextGen P (R). Levantamiento: 2025-06-17 a 2025-06-18. Muestra: 1,380 (LV). Margen: ± 2.6%.
Biggs: 49%; Taylor Robson: 26%; Schweikert: n.d.; Otros: 8%; Indecisos: 17%. Los guiones o datos ausentes se conservan como n.d.; no son ceros.</t>
        </r>
      </text>
    </comment>
    <comment ref="R24" authorId="0" shapeId="0" xr:uid="{00000000-0006-0000-0000-000022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Kreate Strategies (R). Levantamiento: 2025-05-23 a 2025-05-25. Muestra: 1,147 (LV). Margen: ± 2.9%.
Biggs: 57%; Taylor Robson: 25%; Schweikert: n.d.; Otros: n.d.; Indecisos: 18%. Los guiones o datos ausentes se conservan como n.d.; no son ceros.</t>
        </r>
      </text>
    </comment>
    <comment ref="S24" authorId="0" shapeId="0" xr:uid="{00000000-0006-0000-0000-000024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Pulse Decision Science (R). Levantamiento: 2025-04-06 a 2025-04-09. Muestra: 511 (LV). Margen: ± 4.4%.
Biggs: 45%; Taylor Robson: 16%; Schweikert: n.d.; Otros: n.d.; Indecisos: 39%. Los guiones o datos ausentes se conservan como n.d.; no son ceros.</t>
        </r>
      </text>
    </comment>
    <comment ref="T24" authorId="0" shapeId="0" xr:uid="{00000000-0006-0000-0000-000026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NicoPAC (R). Levantamiento: 2025-04-02 a 2025-04-06. Muestra: 477 (RV). Margen: ± 4.5%.
Biggs: 66%; Taylor Robson: 15%; Schweikert: n.d.; Otros: 4%; Indecisos: 15%. Los guiones o datos ausentes se conservan como n.d.; no son ceros.</t>
        </r>
      </text>
    </comment>
    <comment ref="U24" authorId="0" shapeId="0" xr:uid="{00000000-0006-0000-0000-000028000000}">
      <text>
        <r>
          <rPr>
            <sz val="10"/>
            <rFont val="Arial"/>
            <family val="2"/>
          </rPr>
          <t>Fuente: Wikipedia, 2026 Arizona gubernatorial election, tabla Republican primary polling. https://en.wikipedia.org/wiki/2026_Arizona_gubernatorial_election#Polling
Consulta: 09/10/2026.
NicoPAC (R). Levantamiento: 2025-01-24 a 2025-01-26. Muestra: 512 (RV). Margen: ± 4.3%.
Biggs: 71%; Taylor Robson: 14%; Schweikert: n.d.; Otros: n.d.; Indecisos: 15%. Los guiones o datos ausentes se conservan como n.d.; no son ceros.</t>
        </r>
      </text>
    </comment>
  </commentList>
</comments>
</file>

<file path=xl/sharedStrings.xml><?xml version="1.0" encoding="utf-8"?>
<sst xmlns="http://schemas.openxmlformats.org/spreadsheetml/2006/main" count="356" uniqueCount="122">
  <si>
    <t>2026 Arizona Gubernatorial Election — Polls: Katie Hobbs vs. Andy Biggs</t>
  </si>
  <si>
    <t>Encuestas Individuales - Individual Surveys</t>
  </si>
  <si>
    <t>n.d.= dato no disponible</t>
  </si>
  <si>
    <t>Encuestadora</t>
  </si>
  <si>
    <t>GQR (D)</t>
  </si>
  <si>
    <t>Equis Research (D)</t>
  </si>
  <si>
    <t>BSP Research / ASU</t>
  </si>
  <si>
    <t>NextGen Polling (R)</t>
  </si>
  <si>
    <t>HighGround</t>
  </si>
  <si>
    <t>Quantus Insights</t>
  </si>
  <si>
    <t>Kreate Strategies (R)</t>
  </si>
  <si>
    <t>Stealth Analytics</t>
  </si>
  <si>
    <t>Noble Predictive Insights</t>
  </si>
  <si>
    <t>GrayHouse (R)</t>
  </si>
  <si>
    <t>Tarrance Group (R)</t>
  </si>
  <si>
    <t>Fabrizio Ward / Impact Research — AARP</t>
  </si>
  <si>
    <t>TIPP Insights (R)</t>
  </si>
  <si>
    <t>Center for Excellence in Polling</t>
  </si>
  <si>
    <t>NextGen P (R)</t>
  </si>
  <si>
    <t>Emerson College</t>
  </si>
  <si>
    <t>Pulse Decision Science (R)</t>
  </si>
  <si>
    <t>PROME
(promedio de todas)</t>
  </si>
  <si>
    <t>Survey dates (2025–2026)</t>
  </si>
  <si>
    <t>30 sep–05 oct 2026</t>
  </si>
  <si>
    <t>01–09 sep 2026</t>
  </si>
  <si>
    <t>18 ago–04 sep 2026</t>
  </si>
  <si>
    <t>17–19 ago 2026</t>
  </si>
  <si>
    <t>15–18 ago 2026</t>
  </si>
  <si>
    <t>14–17 ago 2026</t>
  </si>
  <si>
    <t>13–16 ago 2026</t>
  </si>
  <si>
    <t>11–13 ago 2026</t>
  </si>
  <si>
    <t>10–13 ago 2026</t>
  </si>
  <si>
    <t>09–11 ago 2026</t>
  </si>
  <si>
    <t>27–30 jul 2026</t>
  </si>
  <si>
    <t>26–28 jul 2026</t>
  </si>
  <si>
    <t>05–07 may 2026</t>
  </si>
  <si>
    <t>20–24 abr 2026</t>
  </si>
  <si>
    <t>23–26 feb 2026</t>
  </si>
  <si>
    <t>22–24 ene 2026</t>
  </si>
  <si>
    <t>15–17 dic 2025</t>
  </si>
  <si>
    <t>08–10 nov 2025</t>
  </si>
  <si>
    <t>11–18 ago 2025</t>
  </si>
  <si>
    <t>12–16 may 2025</t>
  </si>
  <si>
    <t>06–09 abr 2025</t>
  </si>
  <si>
    <t>11–13 feb 2025</t>
  </si>
  <si>
    <t>05–07 feb 2025</t>
  </si>
  <si>
    <t>Katie Hobbs (Demócrata)</t>
  </si>
  <si>
    <t>Andy Biggs (Republicano)</t>
  </si>
  <si>
    <t>Indecisos / Otros</t>
  </si>
  <si>
    <t>Total (debe dar ~100)</t>
  </si>
  <si>
    <t>Who's in the lead?</t>
  </si>
  <si>
    <t>Aggregators (sites that average many polls)</t>
  </si>
  <si>
    <t>Agregador</t>
  </si>
  <si>
    <t>RealClearPolitics</t>
  </si>
  <si>
    <t>270toWin</t>
  </si>
  <si>
    <t>FiftyPlusOne</t>
  </si>
  <si>
    <t>Period covered (2026)</t>
  </si>
  <si>
    <t>26 jul–04 sep 2026</t>
  </si>
  <si>
    <t>ago 2026 (promedio reciente)</t>
  </si>
  <si>
    <t>hasta 05 oct 2026</t>
  </si>
  <si>
    <t>3 agregadores</t>
  </si>
  <si>
    <t>Total (should be ~100)</t>
  </si>
  <si>
    <t>Primarias</t>
  </si>
  <si>
    <t>Encuestas de primarias — intención de voto (%)</t>
  </si>
  <si>
    <t>Primaria republicana (semicerrada: los independientes pueden votar) — 21 de julio de 2026</t>
  </si>
  <si>
    <t>16–17 jun 2026</t>
  </si>
  <si>
    <t>13–15 may 2026</t>
  </si>
  <si>
    <t>13–16 abr 2026</t>
  </si>
  <si>
    <t>26–28 oct 2025</t>
  </si>
  <si>
    <t>08–10 sep 2025</t>
  </si>
  <si>
    <t>19–21 ago 2025</t>
  </si>
  <si>
    <t>17–18 jun 2025</t>
  </si>
  <si>
    <t>23–25 may 2025</t>
  </si>
  <si>
    <t>02–06 abr 2025</t>
  </si>
  <si>
    <t>24–26 ene 2025</t>
  </si>
  <si>
    <t>Candidato</t>
  </si>
  <si>
    <t>Partido</t>
  </si>
  <si>
    <t>Votos</t>
  </si>
  <si>
    <t>% del voto</t>
  </si>
  <si>
    <t>Result</t>
  </si>
  <si>
    <t>NicoPAC (R)</t>
  </si>
  <si>
    <t>Andy Biggs</t>
  </si>
  <si>
    <t>Republicano</t>
  </si>
  <si>
    <t>Ganador: va vs. Hobbs</t>
  </si>
  <si>
    <t>David Schweikert</t>
  </si>
  <si>
    <t>2º lugar</t>
  </si>
  <si>
    <t>n.d.</t>
  </si>
  <si>
    <t>Scott Neely</t>
  </si>
  <si>
    <t>Eliminado</t>
  </si>
  <si>
    <t>Ken Miceli</t>
  </si>
  <si>
    <t>Karrin Taylor Robson</t>
  </si>
  <si>
    <t>—</t>
  </si>
  <si>
    <t>Se retiró (12 feb)</t>
  </si>
  <si>
    <t>Otros</t>
  </si>
  <si>
    <t>Indecisos</t>
  </si>
  <si>
    <t>ARIZONA | Mercados de predicción y apuestas</t>
  </si>
  <si>
    <t>Fecha de referencia</t>
  </si>
  <si>
    <t>Mercado</t>
  </si>
  <si>
    <t>Probabilidad implícita</t>
  </si>
  <si>
    <t>Fuente</t>
  </si>
  <si>
    <t>Kalshi</t>
  </si>
  <si>
    <t>Katie Hobbs</t>
  </si>
  <si>
    <t>Demócrata</t>
  </si>
  <si>
    <t>Newsweek, 21/07/2026 (noche de la primaria) — newsweek.com/gops-andy-biggs-chances-of-defeating-katie-hobbs-in-arizona-governor-race-12219366</t>
  </si>
  <si>
    <t>Polymarket</t>
  </si>
  <si>
    <t>Newsweek, 21/07/2026 — mismo artículo</t>
  </si>
  <si>
    <t>Octagon AI, actualizado 09/09/2026 — octagonai.co/markets/elections/us-elections/arizona-governor-winner</t>
  </si>
  <si>
    <t>Octagon AI, actualizado 09/09/2026</t>
  </si>
  <si>
    <t>Cronkite News, 01/10/2026 — cronkitenews.azpbs.org/2026/10/01/andy-biggs-katie-hobbs-arizona-polls-kalshi/</t>
  </si>
  <si>
    <t>PredictionEdge (datos Kalshi), 09/10/2026 — kalshi.com/markets/govpartyaz</t>
  </si>
  <si>
    <t>PredictionEdge (datos Kalshi), 09/10/2026</t>
  </si>
  <si>
    <t>polymarket.com/event/arizona-governor-winner-2026 (consulta 09/10/2026)</t>
  </si>
  <si>
    <t>Inicio de levantamiento</t>
  </si>
  <si>
    <t>Bloque 1: Primaria republicana</t>
  </si>
  <si>
    <t>Fin de levantamiento</t>
  </si>
  <si>
    <t>Población / fuente</t>
  </si>
  <si>
    <t>Registrados</t>
  </si>
  <si>
    <t>Votantes probables</t>
  </si>
  <si>
    <t>Andy Biggs (R)</t>
  </si>
  <si>
    <t>Karrin Taylor Robson (R)</t>
  </si>
  <si>
    <t>David Schweikert (R)</t>
  </si>
  <si>
    <t>Katie Hobbs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</si>
</sst>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encuestas&quot;"/>
    <numFmt numFmtId="165" formatCode="0.0"/>
    <numFmt numFmtId="166" formatCode="0.0%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2A44"/>
      <name val="Arial"/>
      <family val="2"/>
      <charset val="1"/>
    </font>
    <font>
      <sz val="10"/>
      <color rgb="FF1F2A44"/>
      <name val="Arial"/>
      <family val="2"/>
      <charset val="1"/>
    </font>
    <font>
      <sz val="9"/>
      <color rgb="FF555555"/>
      <name val="Arial"/>
      <family val="2"/>
      <charset val="1"/>
    </font>
    <font>
      <b/>
      <sz val="10"/>
      <color rgb="FF1F5FBF"/>
      <name val="Arial"/>
      <family val="2"/>
      <charset val="1"/>
    </font>
    <font>
      <b/>
      <sz val="11"/>
      <color rgb="FF1F5FBF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1"/>
      <color rgb="FFC0392B"/>
      <name val="Arial"/>
      <family val="2"/>
      <charset val="1"/>
    </font>
    <font>
      <b/>
      <sz val="11"/>
      <color rgb="FF1F2A44"/>
      <name val="Arial"/>
      <family val="2"/>
      <charset val="1"/>
    </font>
    <font>
      <sz val="9"/>
      <color rgb="FF667085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1F2A44"/>
      <name val="Arial"/>
      <family val="2"/>
      <charset val="1"/>
    </font>
    <font>
      <sz val="10"/>
      <color rgb="FFC0392B"/>
      <name val="Arial"/>
      <charset val="1"/>
    </font>
    <font>
      <sz val="10"/>
      <color rgb="FF1F5FBF"/>
      <name val="Arial"/>
      <family val="2"/>
      <charset val="1"/>
    </font>
    <font>
      <i/>
      <sz val="10"/>
      <color rgb="FF1F5FBF"/>
      <name val="Arial"/>
      <charset val="1"/>
    </font>
    <font>
      <sz val="10"/>
      <name val="Arial"/>
      <family val="2"/>
    </font>
    <font>
      <b/>
      <sz val="13"/>
      <color rgb="FFFFFFFF"/>
      <name val="Aptos"/>
      <family val="2"/>
      <charset val="1"/>
    </font>
    <font>
      <b/>
      <sz val="11"/>
      <color rgb="FFFFFFFF"/>
      <name val="Aptos"/>
      <family val="2"/>
      <charset val="1"/>
    </font>
    <font>
      <sz val="11"/>
      <color theme="1"/>
      <name val="Apto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142D4E"/>
      </patternFill>
    </fill>
    <fill>
      <patternFill patternType="solid">
        <fgColor rgb="FFF4B942"/>
        <bgColor rgb="FFFF9900"/>
      </patternFill>
    </fill>
    <fill>
      <patternFill patternType="solid">
        <fgColor rgb="FFF2F4F7"/>
        <bgColor rgb="FFE7EFFC"/>
      </patternFill>
    </fill>
    <fill>
      <patternFill patternType="solid">
        <fgColor rgb="FFFFF4D6"/>
        <bgColor rgb="FFFCE8E6"/>
      </patternFill>
    </fill>
    <fill>
      <patternFill patternType="solid">
        <fgColor rgb="FFDCE8FA"/>
        <bgColor rgb="FFDCE3ED"/>
      </patternFill>
    </fill>
    <fill>
      <patternFill patternType="solid">
        <fgColor rgb="FFFADBD8"/>
        <bgColor rgb="FFFCE8E6"/>
      </patternFill>
    </fill>
    <fill>
      <patternFill patternType="solid">
        <fgColor rgb="FF142D4E"/>
        <bgColor rgb="FF1F2A44"/>
      </patternFill>
    </fill>
    <fill>
      <patternFill patternType="solid">
        <fgColor rgb="FFE7EFFC"/>
        <bgColor rgb="FFF2F4F7"/>
      </patternFill>
    </fill>
    <fill>
      <patternFill patternType="solid">
        <fgColor rgb="FFFCE8E6"/>
        <bgColor rgb="FFFFF4D6"/>
      </patternFill>
    </fill>
  </fills>
  <borders count="9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F4B942"/>
      </bottom>
      <diagonal/>
    </border>
    <border>
      <left/>
      <right style="thin">
        <color rgb="FFDCE3ED"/>
      </right>
      <top/>
      <bottom style="thin">
        <color rgb="FFDCE3ED"/>
      </bottom>
      <diagonal/>
    </border>
    <border>
      <left style="thin">
        <color rgb="FFDCE3ED"/>
      </left>
      <right style="thin">
        <color rgb="FFDCE3ED"/>
      </right>
      <top/>
      <bottom style="thin">
        <color rgb="FFDCE3ED"/>
      </bottom>
      <diagonal/>
    </border>
    <border>
      <left/>
      <right style="thin">
        <color rgb="FFDCE3ED"/>
      </right>
      <top style="thin">
        <color rgb="FFDCE3ED"/>
      </top>
      <bottom style="thin">
        <color rgb="FFDCE3ED"/>
      </bottom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  <border>
      <left/>
      <right style="thin">
        <color rgb="FFDCE3ED"/>
      </right>
      <top style="thin">
        <color rgb="FFDCE3ED"/>
      </top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0" fillId="8" borderId="0" xfId="0" applyFont="1" applyFill="1" applyAlignment="1">
      <alignment vertical="center" wrapText="1"/>
    </xf>
    <xf numFmtId="0" fontId="15" fillId="0" borderId="2" xfId="0" applyFont="1" applyBorder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5" fontId="12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65" fontId="13" fillId="5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7" fillId="5" borderId="1" xfId="0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0" xfId="0" applyFont="1"/>
    <xf numFmtId="0" fontId="21" fillId="8" borderId="3" xfId="0" applyFont="1" applyFill="1" applyBorder="1" applyAlignment="1">
      <alignment vertical="center" wrapText="1"/>
    </xf>
    <xf numFmtId="0" fontId="21" fillId="8" borderId="4" xfId="0" applyFont="1" applyFill="1" applyBorder="1" applyAlignment="1">
      <alignment vertical="center" wrapText="1"/>
    </xf>
    <xf numFmtId="14" fontId="22" fillId="9" borderId="5" xfId="0" applyNumberFormat="1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vertical="center" wrapText="1"/>
    </xf>
    <xf numFmtId="166" fontId="22" fillId="9" borderId="6" xfId="0" applyNumberFormat="1" applyFont="1" applyFill="1" applyBorder="1" applyAlignment="1">
      <alignment horizontal="center" vertical="center" wrapText="1"/>
    </xf>
    <xf numFmtId="166" fontId="22" fillId="9" borderId="6" xfId="0" applyNumberFormat="1" applyFont="1" applyFill="1" applyBorder="1" applyAlignment="1">
      <alignment vertical="center" wrapText="1"/>
    </xf>
    <xf numFmtId="14" fontId="22" fillId="10" borderId="5" xfId="0" applyNumberFormat="1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vertical="center" wrapText="1"/>
    </xf>
    <xf numFmtId="166" fontId="22" fillId="10" borderId="6" xfId="0" applyNumberFormat="1" applyFont="1" applyFill="1" applyBorder="1" applyAlignment="1">
      <alignment horizontal="center" vertical="center" wrapText="1"/>
    </xf>
    <xf numFmtId="166" fontId="22" fillId="10" borderId="6" xfId="0" applyNumberFormat="1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14" fontId="22" fillId="0" borderId="6" xfId="0" applyNumberFormat="1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22" fillId="10" borderId="5" xfId="0" applyFont="1" applyFill="1" applyBorder="1" applyAlignment="1">
      <alignment vertical="center" wrapText="1"/>
    </xf>
    <xf numFmtId="9" fontId="22" fillId="10" borderId="6" xfId="0" applyNumberFormat="1" applyFont="1" applyFill="1" applyBorder="1" applyAlignment="1">
      <alignment horizontal="right" vertical="center" wrapText="1"/>
    </xf>
    <xf numFmtId="0" fontId="22" fillId="0" borderId="7" xfId="0" applyFont="1" applyBorder="1" applyAlignment="1">
      <alignment vertical="center" wrapText="1"/>
    </xf>
    <xf numFmtId="9" fontId="22" fillId="0" borderId="8" xfId="0" applyNumberFormat="1" applyFont="1" applyBorder="1" applyAlignment="1">
      <alignment horizontal="right" vertical="center" wrapText="1"/>
    </xf>
    <xf numFmtId="0" fontId="22" fillId="9" borderId="5" xfId="0" applyFont="1" applyFill="1" applyBorder="1" applyAlignment="1">
      <alignment vertical="center" wrapText="1"/>
    </xf>
    <xf numFmtId="166" fontId="22" fillId="9" borderId="6" xfId="0" applyNumberFormat="1" applyFont="1" applyFill="1" applyBorder="1" applyAlignment="1">
      <alignment horizontal="right" vertical="center" wrapText="1"/>
    </xf>
    <xf numFmtId="166" fontId="22" fillId="10" borderId="6" xfId="0" applyNumberFormat="1" applyFont="1" applyFill="1" applyBorder="1" applyAlignment="1">
      <alignment horizontal="right" vertical="center" wrapText="1"/>
    </xf>
    <xf numFmtId="166" fontId="2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8">
    <dxf>
      <font>
        <color rgb="FFC0392B"/>
      </font>
    </dxf>
    <dxf>
      <font>
        <color rgb="FF1F5FBF"/>
      </font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F5FBF"/>
        </patternFill>
      </fill>
    </dxf>
    <dxf>
      <font>
        <color rgb="FFC0392B"/>
      </font>
    </dxf>
    <dxf>
      <font>
        <color rgb="FF1F5FBF"/>
      </font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F5FB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4D6"/>
      <rgbColor rgb="FFE7EFFC"/>
      <rgbColor rgb="FF660066"/>
      <rgbColor rgb="FFFF8080"/>
      <rgbColor rgb="FF1F5FBF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A"/>
      <rgbColor rgb="FFDCE3ED"/>
      <rgbColor rgb="FFFCE8E6"/>
      <rgbColor rgb="FF99CCFF"/>
      <rgbColor rgb="FFFF99CC"/>
      <rgbColor rgb="FFCC99FF"/>
      <rgbColor rgb="FFFADBD8"/>
      <rgbColor rgb="FF3366FF"/>
      <rgbColor rgb="FF33CCCC"/>
      <rgbColor rgb="FF99CC00"/>
      <rgbColor rgb="FFF4B942"/>
      <rgbColor rgb="FFFF9900"/>
      <rgbColor rgb="FFFF6600"/>
      <rgbColor rgb="FF667085"/>
      <rgbColor rgb="FF969696"/>
      <rgbColor rgb="FF142D4E"/>
      <rgbColor rgb="FF339966"/>
      <rgbColor rgb="FF003300"/>
      <rgbColor rgb="FF333300"/>
      <rgbColor rgb="FFC0392B"/>
      <rgbColor rgb="FF993366"/>
      <rgbColor rgb="FF555555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showGridLines="0" tabSelected="1" zoomScaleNormal="100" workbookViewId="0">
      <pane xSplit="1" topLeftCell="B1" activePane="topRight" state="frozen"/>
      <selection pane="topRight" activeCell="I35" sqref="I35"/>
    </sheetView>
  </sheetViews>
  <sheetFormatPr baseColWidth="10" defaultColWidth="8.7109375" defaultRowHeight="15" x14ac:dyDescent="0.25"/>
  <cols>
    <col min="1" max="1" width="42.28515625" customWidth="1"/>
    <col min="2" max="4" width="15" customWidth="1"/>
    <col min="5" max="5" width="19" customWidth="1"/>
    <col min="6" max="25" width="15" customWidth="1"/>
  </cols>
  <sheetData>
    <row r="1" spans="1:25" ht="31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5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N2" t="s">
        <v>2</v>
      </c>
    </row>
    <row r="3" spans="1:25" ht="54" customHeight="1" x14ac:dyDescent="0.2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12</v>
      </c>
      <c r="O3" s="6" t="s">
        <v>16</v>
      </c>
      <c r="P3" s="6" t="s">
        <v>12</v>
      </c>
      <c r="Q3" s="6" t="s">
        <v>17</v>
      </c>
      <c r="R3" s="6" t="s">
        <v>18</v>
      </c>
      <c r="S3" s="6" t="s">
        <v>19</v>
      </c>
      <c r="T3" s="6" t="s">
        <v>12</v>
      </c>
      <c r="U3" s="6" t="s">
        <v>12</v>
      </c>
      <c r="V3" s="6" t="s">
        <v>20</v>
      </c>
      <c r="W3" s="6" t="s">
        <v>12</v>
      </c>
      <c r="X3" s="6" t="s">
        <v>10</v>
      </c>
      <c r="Y3" s="7" t="s">
        <v>21</v>
      </c>
    </row>
    <row r="4" spans="1:25" ht="24" customHeight="1" x14ac:dyDescent="0.25">
      <c r="A4" s="8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  <c r="N4" s="9" t="s">
        <v>35</v>
      </c>
      <c r="O4" s="9" t="s">
        <v>36</v>
      </c>
      <c r="P4" s="9" t="s">
        <v>37</v>
      </c>
      <c r="Q4" s="9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9" t="s">
        <v>43</v>
      </c>
      <c r="W4" s="9" t="s">
        <v>44</v>
      </c>
      <c r="X4" s="9" t="s">
        <v>45</v>
      </c>
      <c r="Y4" s="10">
        <f>COUNT(B5:X5)</f>
        <v>23</v>
      </c>
    </row>
    <row r="5" spans="1:25" x14ac:dyDescent="0.25">
      <c r="A5" s="11" t="s">
        <v>46</v>
      </c>
      <c r="B5" s="12">
        <v>49</v>
      </c>
      <c r="C5" s="12">
        <v>49</v>
      </c>
      <c r="D5" s="12">
        <v>47</v>
      </c>
      <c r="E5" s="12">
        <v>39</v>
      </c>
      <c r="F5" s="13">
        <v>49.5</v>
      </c>
      <c r="G5" s="13">
        <v>49.1</v>
      </c>
      <c r="H5" s="12">
        <v>45</v>
      </c>
      <c r="I5" s="12">
        <v>43</v>
      </c>
      <c r="J5" s="12">
        <v>48</v>
      </c>
      <c r="K5" s="12">
        <v>49</v>
      </c>
      <c r="L5" s="12">
        <v>52</v>
      </c>
      <c r="M5" s="12">
        <v>52</v>
      </c>
      <c r="N5" s="12">
        <v>41</v>
      </c>
      <c r="O5" s="12">
        <v>48</v>
      </c>
      <c r="P5" s="12">
        <v>42</v>
      </c>
      <c r="Q5" s="12">
        <v>50</v>
      </c>
      <c r="R5" s="12">
        <v>51</v>
      </c>
      <c r="S5" s="12">
        <v>44</v>
      </c>
      <c r="T5" s="12">
        <v>39</v>
      </c>
      <c r="U5" s="12">
        <v>40</v>
      </c>
      <c r="V5" s="12">
        <v>46</v>
      </c>
      <c r="W5" s="12">
        <v>40</v>
      </c>
      <c r="X5" s="12">
        <v>43</v>
      </c>
      <c r="Y5" s="14">
        <f>AVERAGE(B5:X5)</f>
        <v>45.895652173913042</v>
      </c>
    </row>
    <row r="6" spans="1:25" x14ac:dyDescent="0.25">
      <c r="A6" s="15" t="s">
        <v>47</v>
      </c>
      <c r="B6" s="12">
        <v>45</v>
      </c>
      <c r="C6" s="12">
        <v>43</v>
      </c>
      <c r="D6" s="12">
        <v>34</v>
      </c>
      <c r="E6" s="12">
        <v>38</v>
      </c>
      <c r="F6" s="13">
        <v>34.299999999999997</v>
      </c>
      <c r="G6" s="13">
        <v>43.2</v>
      </c>
      <c r="H6" s="12">
        <v>40</v>
      </c>
      <c r="I6" s="12">
        <v>38</v>
      </c>
      <c r="J6" s="12">
        <v>35</v>
      </c>
      <c r="K6" s="12">
        <v>45</v>
      </c>
      <c r="L6" s="12">
        <v>48</v>
      </c>
      <c r="M6" s="12">
        <v>44</v>
      </c>
      <c r="N6" s="12">
        <v>37</v>
      </c>
      <c r="O6" s="12">
        <v>38</v>
      </c>
      <c r="P6" s="12">
        <v>37</v>
      </c>
      <c r="Q6" s="12">
        <v>41</v>
      </c>
      <c r="R6" s="12">
        <v>32</v>
      </c>
      <c r="S6" s="12">
        <v>43</v>
      </c>
      <c r="T6" s="12">
        <v>37</v>
      </c>
      <c r="U6" s="12">
        <v>38</v>
      </c>
      <c r="V6" s="12">
        <v>42</v>
      </c>
      <c r="W6" s="12">
        <v>38</v>
      </c>
      <c r="X6" s="12">
        <v>44</v>
      </c>
      <c r="Y6" s="16">
        <f>AVERAGE(B6:X6)</f>
        <v>39.760869565217391</v>
      </c>
    </row>
    <row r="7" spans="1:25" x14ac:dyDescent="0.25">
      <c r="A7" s="8" t="s">
        <v>48</v>
      </c>
      <c r="B7" s="12">
        <f t="shared" ref="B7:Y7" si="0">100-B5-B6</f>
        <v>6</v>
      </c>
      <c r="C7" s="12">
        <f t="shared" si="0"/>
        <v>8</v>
      </c>
      <c r="D7" s="12">
        <f t="shared" si="0"/>
        <v>19</v>
      </c>
      <c r="E7" s="12">
        <f t="shared" si="0"/>
        <v>23</v>
      </c>
      <c r="F7" s="13">
        <f t="shared" si="0"/>
        <v>16.200000000000003</v>
      </c>
      <c r="G7" s="13">
        <f t="shared" si="0"/>
        <v>7.6999999999999957</v>
      </c>
      <c r="H7" s="12">
        <f t="shared" si="0"/>
        <v>15</v>
      </c>
      <c r="I7" s="12">
        <f t="shared" si="0"/>
        <v>19</v>
      </c>
      <c r="J7" s="12">
        <f t="shared" si="0"/>
        <v>17</v>
      </c>
      <c r="K7" s="12">
        <f t="shared" si="0"/>
        <v>6</v>
      </c>
      <c r="L7" s="12">
        <f t="shared" si="0"/>
        <v>0</v>
      </c>
      <c r="M7" s="12">
        <f t="shared" si="0"/>
        <v>4</v>
      </c>
      <c r="N7" s="12">
        <f t="shared" si="0"/>
        <v>22</v>
      </c>
      <c r="O7" s="12">
        <f t="shared" si="0"/>
        <v>14</v>
      </c>
      <c r="P7" s="12">
        <f t="shared" si="0"/>
        <v>21</v>
      </c>
      <c r="Q7" s="12">
        <f t="shared" si="0"/>
        <v>9</v>
      </c>
      <c r="R7" s="12">
        <f t="shared" si="0"/>
        <v>17</v>
      </c>
      <c r="S7" s="12">
        <f t="shared" si="0"/>
        <v>13</v>
      </c>
      <c r="T7" s="12">
        <f t="shared" si="0"/>
        <v>24</v>
      </c>
      <c r="U7" s="12">
        <f t="shared" si="0"/>
        <v>22</v>
      </c>
      <c r="V7" s="12">
        <f t="shared" si="0"/>
        <v>12</v>
      </c>
      <c r="W7" s="12">
        <f t="shared" si="0"/>
        <v>22</v>
      </c>
      <c r="X7" s="12">
        <f t="shared" si="0"/>
        <v>13</v>
      </c>
      <c r="Y7" s="17">
        <f t="shared" si="0"/>
        <v>14.343478260869567</v>
      </c>
    </row>
    <row r="8" spans="1:25" x14ac:dyDescent="0.25">
      <c r="A8" s="18" t="s">
        <v>49</v>
      </c>
      <c r="B8" s="19">
        <f t="shared" ref="B8:Y8" si="1">SUM(B5:B7)</f>
        <v>100</v>
      </c>
      <c r="C8" s="19">
        <f t="shared" si="1"/>
        <v>100</v>
      </c>
      <c r="D8" s="19">
        <f t="shared" si="1"/>
        <v>100</v>
      </c>
      <c r="E8" s="19">
        <f t="shared" si="1"/>
        <v>100</v>
      </c>
      <c r="F8" s="19">
        <f t="shared" si="1"/>
        <v>100</v>
      </c>
      <c r="G8" s="19">
        <f t="shared" si="1"/>
        <v>100</v>
      </c>
      <c r="H8" s="19">
        <f t="shared" si="1"/>
        <v>100</v>
      </c>
      <c r="I8" s="19">
        <f t="shared" si="1"/>
        <v>100</v>
      </c>
      <c r="J8" s="19">
        <f t="shared" si="1"/>
        <v>100</v>
      </c>
      <c r="K8" s="19">
        <f t="shared" si="1"/>
        <v>100</v>
      </c>
      <c r="L8" s="19">
        <f t="shared" si="1"/>
        <v>100</v>
      </c>
      <c r="M8" s="19">
        <f t="shared" si="1"/>
        <v>100</v>
      </c>
      <c r="N8" s="19">
        <f t="shared" si="1"/>
        <v>100</v>
      </c>
      <c r="O8" s="19">
        <f t="shared" si="1"/>
        <v>100</v>
      </c>
      <c r="P8" s="19">
        <f t="shared" si="1"/>
        <v>100</v>
      </c>
      <c r="Q8" s="19">
        <f t="shared" si="1"/>
        <v>100</v>
      </c>
      <c r="R8" s="19">
        <f t="shared" si="1"/>
        <v>100</v>
      </c>
      <c r="S8" s="19">
        <f t="shared" si="1"/>
        <v>100</v>
      </c>
      <c r="T8" s="19">
        <f t="shared" si="1"/>
        <v>100</v>
      </c>
      <c r="U8" s="19">
        <f t="shared" si="1"/>
        <v>100</v>
      </c>
      <c r="V8" s="19">
        <f t="shared" si="1"/>
        <v>100</v>
      </c>
      <c r="W8" s="19">
        <f t="shared" si="1"/>
        <v>100</v>
      </c>
      <c r="X8" s="19">
        <f t="shared" si="1"/>
        <v>100</v>
      </c>
      <c r="Y8" s="20">
        <f t="shared" si="1"/>
        <v>100</v>
      </c>
    </row>
    <row r="9" spans="1:25" x14ac:dyDescent="0.25">
      <c r="A9" s="18" t="s">
        <v>50</v>
      </c>
      <c r="B9" s="21" t="str">
        <f t="shared" ref="B9:X9" si="2">IF(ROUND(B5,1)=ROUND(B6,1),"Empate",IF(B5&gt;B6,"Hobbs +","Biggs +")&amp;TEXT(ABS(B5-B6),IF(ABS(B5-B6)=INT(ABS(B5-B6)),"0","0.0")))</f>
        <v>Hobbs +4</v>
      </c>
      <c r="C9" s="21" t="str">
        <f t="shared" si="2"/>
        <v>Hobbs +6</v>
      </c>
      <c r="D9" s="21" t="str">
        <f t="shared" si="2"/>
        <v>Hobbs +13</v>
      </c>
      <c r="E9" s="21" t="str">
        <f t="shared" si="2"/>
        <v>Hobbs +1</v>
      </c>
      <c r="F9" s="21" t="str">
        <f t="shared" si="2"/>
        <v>Hobbs +15.2</v>
      </c>
      <c r="G9" s="21" t="str">
        <f t="shared" si="2"/>
        <v>Hobbs +5.9</v>
      </c>
      <c r="H9" s="21" t="str">
        <f t="shared" si="2"/>
        <v>Hobbs +5</v>
      </c>
      <c r="I9" s="21" t="str">
        <f t="shared" si="2"/>
        <v>Hobbs +5</v>
      </c>
      <c r="J9" s="21" t="str">
        <f t="shared" si="2"/>
        <v>Hobbs +13</v>
      </c>
      <c r="K9" s="21" t="str">
        <f t="shared" si="2"/>
        <v>Hobbs +4</v>
      </c>
      <c r="L9" s="21" t="str">
        <f t="shared" si="2"/>
        <v>Hobbs +4</v>
      </c>
      <c r="M9" s="21" t="str">
        <f t="shared" si="2"/>
        <v>Hobbs +8</v>
      </c>
      <c r="N9" s="21" t="str">
        <f t="shared" si="2"/>
        <v>Hobbs +4</v>
      </c>
      <c r="O9" s="21" t="str">
        <f t="shared" si="2"/>
        <v>Hobbs +10</v>
      </c>
      <c r="P9" s="21" t="str">
        <f t="shared" si="2"/>
        <v>Hobbs +5</v>
      </c>
      <c r="Q9" s="21" t="str">
        <f t="shared" si="2"/>
        <v>Hobbs +9</v>
      </c>
      <c r="R9" s="21" t="str">
        <f t="shared" si="2"/>
        <v>Hobbs +19</v>
      </c>
      <c r="S9" s="21" t="str">
        <f t="shared" si="2"/>
        <v>Hobbs +1</v>
      </c>
      <c r="T9" s="21" t="str">
        <f t="shared" si="2"/>
        <v>Hobbs +2</v>
      </c>
      <c r="U9" s="21" t="str">
        <f t="shared" si="2"/>
        <v>Hobbs +2</v>
      </c>
      <c r="V9" s="21" t="str">
        <f t="shared" si="2"/>
        <v>Hobbs +4</v>
      </c>
      <c r="W9" s="21" t="str">
        <f t="shared" si="2"/>
        <v>Hobbs +2</v>
      </c>
      <c r="X9" s="21" t="str">
        <f t="shared" si="2"/>
        <v>Biggs +1</v>
      </c>
      <c r="Y9" s="22" t="str">
        <f>IF(ROUND(Y5,1)=ROUND(Y6,1),"Empate",IF(Y5&gt;Y6,"Hobbs +","Biggs +")&amp;TEXT(ABS(Y5-Y6),"0.0"))</f>
        <v>Hobbs +6.1</v>
      </c>
    </row>
    <row r="12" spans="1:25" ht="17.25" customHeight="1" x14ac:dyDescent="0.25">
      <c r="A12" s="23" t="s">
        <v>51</v>
      </c>
    </row>
    <row r="13" spans="1:25" ht="54" customHeight="1" x14ac:dyDescent="0.25">
      <c r="A13" s="5" t="s">
        <v>52</v>
      </c>
      <c r="B13" s="6" t="s">
        <v>53</v>
      </c>
      <c r="C13" s="6" t="s">
        <v>54</v>
      </c>
      <c r="D13" s="6" t="s">
        <v>55</v>
      </c>
      <c r="E13" s="7" t="s">
        <v>21</v>
      </c>
    </row>
    <row r="14" spans="1:25" ht="36" x14ac:dyDescent="0.25">
      <c r="A14" s="8" t="s">
        <v>56</v>
      </c>
      <c r="B14" s="9" t="s">
        <v>57</v>
      </c>
      <c r="C14" s="9" t="s">
        <v>58</v>
      </c>
      <c r="D14" s="9" t="s">
        <v>59</v>
      </c>
      <c r="E14" s="24" t="s">
        <v>60</v>
      </c>
    </row>
    <row r="15" spans="1:25" x14ac:dyDescent="0.25">
      <c r="A15" s="11" t="s">
        <v>46</v>
      </c>
      <c r="B15" s="13">
        <v>49.2</v>
      </c>
      <c r="C15" s="13">
        <v>45.8</v>
      </c>
      <c r="D15" s="13">
        <v>47.6</v>
      </c>
      <c r="E15" s="14">
        <f>AVERAGE(B15:D15)</f>
        <v>47.533333333333331</v>
      </c>
    </row>
    <row r="16" spans="1:25" x14ac:dyDescent="0.25">
      <c r="A16" s="15" t="s">
        <v>47</v>
      </c>
      <c r="B16" s="13">
        <v>38</v>
      </c>
      <c r="C16" s="13">
        <v>37.6</v>
      </c>
      <c r="D16" s="13">
        <v>40.6</v>
      </c>
      <c r="E16" s="16">
        <f>AVERAGE(B16:D16)</f>
        <v>38.733333333333327</v>
      </c>
    </row>
    <row r="17" spans="1:21" x14ac:dyDescent="0.25">
      <c r="A17" s="8" t="s">
        <v>48</v>
      </c>
      <c r="B17" s="13">
        <f>ROUND(100-B15-B16,1)</f>
        <v>12.8</v>
      </c>
      <c r="C17" s="13">
        <f>ROUND(100-C15-C16,1)</f>
        <v>16.600000000000001</v>
      </c>
      <c r="D17" s="13">
        <f>ROUND(100-D15-D16,1)</f>
        <v>11.8</v>
      </c>
      <c r="E17" s="17">
        <f>100-E15-E16</f>
        <v>13.733333333333341</v>
      </c>
    </row>
    <row r="18" spans="1:21" x14ac:dyDescent="0.25">
      <c r="A18" s="18" t="s">
        <v>61</v>
      </c>
      <c r="B18" s="25">
        <f>SUM(B15:B17)</f>
        <v>100</v>
      </c>
      <c r="C18" s="25">
        <f>SUM(C15:C17)</f>
        <v>100</v>
      </c>
      <c r="D18" s="25">
        <f>SUM(D15:D17)</f>
        <v>100</v>
      </c>
      <c r="E18" s="20">
        <f>SUM(E15:E17)</f>
        <v>100</v>
      </c>
    </row>
    <row r="19" spans="1:21" x14ac:dyDescent="0.25">
      <c r="A19" s="18" t="s">
        <v>50</v>
      </c>
      <c r="B19" s="21" t="str">
        <f>IF(ROUND(B15,1)=ROUND(B16,1),"Empate",IF(B15&gt;B16,"Hobbs +","Biggs +")&amp;TEXT(ABS(B15-B16),"0.0"))</f>
        <v>Hobbs +11.2</v>
      </c>
      <c r="C19" s="21" t="str">
        <f>IF(ROUND(C15,1)=ROUND(C16,1),"Empate",IF(C15&gt;C16,"Hobbs +","Biggs +")&amp;TEXT(ABS(C15-C16),"0.0"))</f>
        <v>Hobbs +8.2</v>
      </c>
      <c r="D19" s="21" t="str">
        <f>IF(ROUND(D15,1)=ROUND(D16,1),"Empate",IF(D15&gt;D16,"Hobbs +","Biggs +")&amp;TEXT(ABS(D15-D16),"0.0"))</f>
        <v>Hobbs +7.0</v>
      </c>
      <c r="E19" s="22" t="str">
        <f>IF(ROUND(E15,1)=ROUND(E16,1),"Empate",IF(E15&gt;E16,"Hobbs +","Biggs +")&amp;TEXT(ABS(E15-E16),"0.0"))</f>
        <v>Hobbs +8.8</v>
      </c>
    </row>
    <row r="22" spans="1:21" ht="16.5" customHeight="1" x14ac:dyDescent="0.25">
      <c r="A22" s="23" t="s">
        <v>62</v>
      </c>
      <c r="F22" s="2" t="s">
        <v>63</v>
      </c>
      <c r="G22" s="2"/>
      <c r="H22" s="2"/>
      <c r="I22" s="2"/>
      <c r="J22" s="2"/>
      <c r="K22" s="2"/>
      <c r="L22" s="2"/>
      <c r="M22" s="2"/>
    </row>
    <row r="23" spans="1:21" ht="24" customHeight="1" x14ac:dyDescent="0.25">
      <c r="A23" s="26" t="s">
        <v>64</v>
      </c>
      <c r="F23" s="9" t="s">
        <v>65</v>
      </c>
      <c r="G23" s="9" t="s">
        <v>66</v>
      </c>
      <c r="H23" s="9" t="s">
        <v>35</v>
      </c>
      <c r="I23" s="9" t="s">
        <v>67</v>
      </c>
      <c r="J23" s="9" t="s">
        <v>37</v>
      </c>
      <c r="K23" s="9" t="s">
        <v>38</v>
      </c>
      <c r="L23" s="9" t="s">
        <v>40</v>
      </c>
      <c r="M23" s="9" t="s">
        <v>68</v>
      </c>
      <c r="N23" s="9" t="s">
        <v>69</v>
      </c>
      <c r="O23" s="9" t="s">
        <v>70</v>
      </c>
      <c r="P23" s="9" t="s">
        <v>41</v>
      </c>
      <c r="Q23" s="9" t="s">
        <v>71</v>
      </c>
      <c r="R23" s="9" t="s">
        <v>72</v>
      </c>
      <c r="S23" s="9" t="s">
        <v>43</v>
      </c>
      <c r="T23" s="9" t="s">
        <v>73</v>
      </c>
      <c r="U23" s="9" t="s">
        <v>74</v>
      </c>
    </row>
    <row r="24" spans="1:21" ht="31.5" customHeight="1" x14ac:dyDescent="0.25">
      <c r="A24" s="5" t="s">
        <v>75</v>
      </c>
      <c r="B24" s="27" t="s">
        <v>76</v>
      </c>
      <c r="C24" s="27" t="s">
        <v>77</v>
      </c>
      <c r="D24" s="27" t="s">
        <v>78</v>
      </c>
      <c r="E24" s="27" t="s">
        <v>79</v>
      </c>
      <c r="F24" s="27" t="s">
        <v>18</v>
      </c>
      <c r="G24" s="27" t="s">
        <v>11</v>
      </c>
      <c r="H24" s="27" t="s">
        <v>12</v>
      </c>
      <c r="I24" s="27" t="s">
        <v>18</v>
      </c>
      <c r="J24" s="27" t="s">
        <v>12</v>
      </c>
      <c r="K24" s="27" t="s">
        <v>17</v>
      </c>
      <c r="L24" s="27" t="s">
        <v>19</v>
      </c>
      <c r="M24" s="27" t="s">
        <v>13</v>
      </c>
      <c r="N24" s="27" t="s">
        <v>20</v>
      </c>
      <c r="O24" s="27" t="s">
        <v>10</v>
      </c>
      <c r="P24" s="27" t="s">
        <v>12</v>
      </c>
      <c r="Q24" s="27" t="s">
        <v>18</v>
      </c>
      <c r="R24" s="27" t="s">
        <v>10</v>
      </c>
      <c r="S24" s="27" t="s">
        <v>20</v>
      </c>
      <c r="T24" s="27" t="s">
        <v>80</v>
      </c>
      <c r="U24" s="27" t="s">
        <v>80</v>
      </c>
    </row>
    <row r="25" spans="1:21" ht="25.5" customHeight="1" x14ac:dyDescent="0.25">
      <c r="A25" s="15" t="s">
        <v>81</v>
      </c>
      <c r="B25" s="28" t="s">
        <v>82</v>
      </c>
      <c r="C25" s="29">
        <v>453748</v>
      </c>
      <c r="D25" s="30">
        <f>C25/SUM($C$25:$C$28)</f>
        <v>0.74033078859648982</v>
      </c>
      <c r="E25" s="31" t="s">
        <v>83</v>
      </c>
      <c r="F25" s="32">
        <v>0.56999999999999995</v>
      </c>
      <c r="G25" s="32">
        <v>0.55000000000000004</v>
      </c>
      <c r="H25" s="32">
        <v>0.48</v>
      </c>
      <c r="I25" s="32">
        <v>0.52</v>
      </c>
      <c r="J25" s="32">
        <v>0.4</v>
      </c>
      <c r="K25" s="32">
        <v>0.28000000000000003</v>
      </c>
      <c r="L25" s="32">
        <v>0.5</v>
      </c>
      <c r="M25" s="32">
        <v>0.43</v>
      </c>
      <c r="N25" s="32">
        <v>0.48</v>
      </c>
      <c r="O25" s="32">
        <v>0.65</v>
      </c>
      <c r="P25" s="32">
        <v>0.27</v>
      </c>
      <c r="Q25" s="32">
        <v>0.49</v>
      </c>
      <c r="R25" s="32">
        <v>0.56999999999999995</v>
      </c>
      <c r="S25" s="32">
        <v>0.45</v>
      </c>
      <c r="T25" s="32">
        <v>0.66</v>
      </c>
      <c r="U25" s="32">
        <v>0.71</v>
      </c>
    </row>
    <row r="26" spans="1:21" ht="18" customHeight="1" x14ac:dyDescent="0.25">
      <c r="A26" s="33" t="s">
        <v>84</v>
      </c>
      <c r="B26" s="34" t="s">
        <v>82</v>
      </c>
      <c r="C26" s="35">
        <v>88269</v>
      </c>
      <c r="D26" s="36">
        <f>C26/SUM($C$25:$C$28)</f>
        <v>0.14401883507723132</v>
      </c>
      <c r="E26" s="37" t="s">
        <v>85</v>
      </c>
      <c r="F26" s="38">
        <v>0.11</v>
      </c>
      <c r="G26" s="38">
        <v>0.09</v>
      </c>
      <c r="H26" s="38">
        <v>0.18</v>
      </c>
      <c r="I26" s="38">
        <v>0.1</v>
      </c>
      <c r="J26" s="38">
        <v>0.19</v>
      </c>
      <c r="K26" s="38">
        <v>0.12</v>
      </c>
      <c r="L26" s="38">
        <v>0.08</v>
      </c>
      <c r="M26" s="38">
        <v>0.02</v>
      </c>
      <c r="N26" s="38">
        <v>0.11</v>
      </c>
      <c r="O26" s="38" t="s">
        <v>86</v>
      </c>
      <c r="P26" s="38" t="s">
        <v>86</v>
      </c>
      <c r="Q26" s="38" t="s">
        <v>86</v>
      </c>
      <c r="R26" s="38" t="s">
        <v>86</v>
      </c>
      <c r="S26" s="38" t="s">
        <v>86</v>
      </c>
      <c r="T26" s="38" t="s">
        <v>86</v>
      </c>
      <c r="U26" s="38" t="s">
        <v>86</v>
      </c>
    </row>
    <row r="27" spans="1:21" ht="18" customHeight="1" x14ac:dyDescent="0.25">
      <c r="A27" s="33" t="s">
        <v>87</v>
      </c>
      <c r="B27" s="34" t="s">
        <v>82</v>
      </c>
      <c r="C27" s="35">
        <v>42860</v>
      </c>
      <c r="D27" s="36">
        <f>C27/SUM($C$25:$C$28)</f>
        <v>6.9929955832853372E-2</v>
      </c>
      <c r="E27" s="37" t="s">
        <v>88</v>
      </c>
      <c r="F27" s="38" t="s">
        <v>86</v>
      </c>
      <c r="G27" s="38" t="s">
        <v>86</v>
      </c>
      <c r="H27" s="38" t="s">
        <v>86</v>
      </c>
      <c r="I27" s="38" t="s">
        <v>86</v>
      </c>
      <c r="J27" s="38" t="s">
        <v>86</v>
      </c>
      <c r="K27" s="38" t="s">
        <v>86</v>
      </c>
      <c r="L27" s="38" t="s">
        <v>86</v>
      </c>
      <c r="M27" s="38" t="s">
        <v>86</v>
      </c>
      <c r="N27" s="38" t="s">
        <v>86</v>
      </c>
      <c r="O27" s="38" t="s">
        <v>86</v>
      </c>
      <c r="P27" s="38" t="s">
        <v>86</v>
      </c>
      <c r="Q27" s="38" t="s">
        <v>86</v>
      </c>
      <c r="R27" s="38" t="s">
        <v>86</v>
      </c>
      <c r="S27" s="38" t="s">
        <v>86</v>
      </c>
      <c r="T27" s="38" t="s">
        <v>86</v>
      </c>
      <c r="U27" s="38" t="s">
        <v>86</v>
      </c>
    </row>
    <row r="28" spans="1:21" ht="18" customHeight="1" x14ac:dyDescent="0.25">
      <c r="A28" s="33" t="s">
        <v>89</v>
      </c>
      <c r="B28" s="34" t="s">
        <v>82</v>
      </c>
      <c r="C28" s="35">
        <v>28022</v>
      </c>
      <c r="D28" s="36">
        <f>C28/SUM($C$25:$C$28)</f>
        <v>4.5720420493425507E-2</v>
      </c>
      <c r="E28" s="37" t="s">
        <v>88</v>
      </c>
      <c r="F28" s="38" t="s">
        <v>86</v>
      </c>
      <c r="G28" s="38" t="s">
        <v>86</v>
      </c>
      <c r="H28" s="38" t="s">
        <v>86</v>
      </c>
      <c r="I28" s="38" t="s">
        <v>86</v>
      </c>
      <c r="J28" s="38" t="s">
        <v>86</v>
      </c>
      <c r="K28" s="38" t="s">
        <v>86</v>
      </c>
      <c r="L28" s="38" t="s">
        <v>86</v>
      </c>
      <c r="M28" s="38" t="s">
        <v>86</v>
      </c>
      <c r="N28" s="38" t="s">
        <v>86</v>
      </c>
      <c r="O28" s="38" t="s">
        <v>86</v>
      </c>
      <c r="P28" s="38" t="s">
        <v>86</v>
      </c>
      <c r="Q28" s="38" t="s">
        <v>86</v>
      </c>
      <c r="R28" s="38" t="s">
        <v>86</v>
      </c>
      <c r="S28" s="38" t="s">
        <v>86</v>
      </c>
      <c r="T28" s="38" t="s">
        <v>86</v>
      </c>
      <c r="U28" s="38" t="s">
        <v>86</v>
      </c>
    </row>
    <row r="29" spans="1:21" ht="18" customHeight="1" x14ac:dyDescent="0.25">
      <c r="A29" s="33" t="s">
        <v>90</v>
      </c>
      <c r="B29" s="34" t="s">
        <v>82</v>
      </c>
      <c r="C29" s="35" t="s">
        <v>91</v>
      </c>
      <c r="D29" s="36" t="s">
        <v>91</v>
      </c>
      <c r="E29" s="37" t="s">
        <v>92</v>
      </c>
      <c r="F29" s="38" t="s">
        <v>86</v>
      </c>
      <c r="G29" s="38" t="s">
        <v>86</v>
      </c>
      <c r="H29" s="38" t="s">
        <v>86</v>
      </c>
      <c r="I29" s="38" t="s">
        <v>86</v>
      </c>
      <c r="J29" s="38" t="s">
        <v>86</v>
      </c>
      <c r="K29" s="38">
        <v>0.19</v>
      </c>
      <c r="L29" s="38">
        <v>0.17</v>
      </c>
      <c r="M29" s="38">
        <v>0.19</v>
      </c>
      <c r="N29" s="38">
        <v>0.26</v>
      </c>
      <c r="O29" s="38">
        <v>0.14000000000000001</v>
      </c>
      <c r="P29" s="38">
        <v>0.37</v>
      </c>
      <c r="Q29" s="38">
        <v>0.26</v>
      </c>
      <c r="R29" s="38">
        <v>0.25</v>
      </c>
      <c r="S29" s="38">
        <v>0.16</v>
      </c>
      <c r="T29" s="38">
        <v>0.15</v>
      </c>
      <c r="U29" s="38">
        <v>0.14000000000000001</v>
      </c>
    </row>
    <row r="30" spans="1:21" ht="18" customHeight="1" x14ac:dyDescent="0.25">
      <c r="A30" s="39" t="s">
        <v>93</v>
      </c>
      <c r="B30" s="34" t="s">
        <v>91</v>
      </c>
      <c r="C30" s="35" t="s">
        <v>91</v>
      </c>
      <c r="D30" s="36" t="s">
        <v>91</v>
      </c>
      <c r="E30" s="37" t="s">
        <v>91</v>
      </c>
      <c r="F30" s="38">
        <v>0.05</v>
      </c>
      <c r="G30" s="38">
        <v>0.02</v>
      </c>
      <c r="H30" s="38" t="s">
        <v>86</v>
      </c>
      <c r="I30" s="38">
        <v>0.03</v>
      </c>
      <c r="J30" s="38" t="s">
        <v>86</v>
      </c>
      <c r="K30" s="38" t="s">
        <v>86</v>
      </c>
      <c r="L30" s="38">
        <v>0.01</v>
      </c>
      <c r="M30" s="38" t="s">
        <v>86</v>
      </c>
      <c r="N30" s="38" t="s">
        <v>86</v>
      </c>
      <c r="O30" s="38" t="s">
        <v>86</v>
      </c>
      <c r="P30" s="38" t="s">
        <v>86</v>
      </c>
      <c r="Q30" s="38">
        <v>0.08</v>
      </c>
      <c r="R30" s="38" t="s">
        <v>86</v>
      </c>
      <c r="S30" s="38" t="s">
        <v>86</v>
      </c>
      <c r="T30" s="38">
        <v>0.04</v>
      </c>
      <c r="U30" s="38" t="s">
        <v>86</v>
      </c>
    </row>
    <row r="31" spans="1:21" ht="18" customHeight="1" x14ac:dyDescent="0.25">
      <c r="A31" s="39" t="s">
        <v>94</v>
      </c>
      <c r="B31" s="34" t="s">
        <v>91</v>
      </c>
      <c r="C31" s="35" t="s">
        <v>91</v>
      </c>
      <c r="D31" s="36" t="s">
        <v>91</v>
      </c>
      <c r="E31" s="37" t="s">
        <v>91</v>
      </c>
      <c r="F31" s="38">
        <v>0.27</v>
      </c>
      <c r="G31" s="38">
        <v>0.34</v>
      </c>
      <c r="H31" s="38">
        <v>0.34</v>
      </c>
      <c r="I31" s="38">
        <v>0.35</v>
      </c>
      <c r="J31" s="38">
        <v>0.41</v>
      </c>
      <c r="K31" s="38">
        <v>0.41</v>
      </c>
      <c r="L31" s="38">
        <v>0.24</v>
      </c>
      <c r="M31" s="38">
        <v>0.36</v>
      </c>
      <c r="N31" s="38">
        <v>0.15</v>
      </c>
      <c r="O31" s="38">
        <v>0.21</v>
      </c>
      <c r="P31" s="38">
        <v>0.36</v>
      </c>
      <c r="Q31" s="38">
        <v>0.17</v>
      </c>
      <c r="R31" s="38">
        <v>0.18</v>
      </c>
      <c r="S31" s="38">
        <v>0.39</v>
      </c>
      <c r="T31" s="38">
        <v>0.15</v>
      </c>
      <c r="U31" s="38">
        <v>0.15</v>
      </c>
    </row>
    <row r="33" spans="1:14" x14ac:dyDescent="0.25">
      <c r="A33" s="40"/>
    </row>
    <row r="34" spans="1:14" x14ac:dyDescent="0.25">
      <c r="N34" t="s">
        <v>2</v>
      </c>
    </row>
  </sheetData>
  <mergeCells count="3">
    <mergeCell ref="A1:L1"/>
    <mergeCell ref="A2:L2"/>
    <mergeCell ref="F22:M22"/>
  </mergeCells>
  <conditionalFormatting sqref="B15:E15">
    <cfRule type="expression" dxfId="7" priority="6">
      <formula>ROUND(B15,1)&gt;ROUND(B16,1)</formula>
    </cfRule>
  </conditionalFormatting>
  <conditionalFormatting sqref="B16:E16">
    <cfRule type="expression" dxfId="6" priority="7">
      <formula>ROUND(B16,1)&gt;ROUND(B15,1)</formula>
    </cfRule>
  </conditionalFormatting>
  <conditionalFormatting sqref="B19:E19">
    <cfRule type="expression" dxfId="5" priority="8">
      <formula>LEFT(B19,5)="Hobbs"</formula>
    </cfRule>
    <cfRule type="expression" dxfId="4" priority="9">
      <formula>LEFT(B19,5)="Biggs"</formula>
    </cfRule>
  </conditionalFormatting>
  <conditionalFormatting sqref="B5:Y5">
    <cfRule type="expression" dxfId="3" priority="2">
      <formula>AND(ISNUMBER(B5),ISNUMBER(B6),ROUND(B5,1)&gt;ROUND(B6,1))</formula>
    </cfRule>
  </conditionalFormatting>
  <conditionalFormatting sqref="B6:Y6">
    <cfRule type="expression" dxfId="2" priority="3">
      <formula>AND(ISNUMBER(B5),ISNUMBER(B6),ROUND(B6,1)&gt;ROUND(B5,1))</formula>
    </cfRule>
  </conditionalFormatting>
  <conditionalFormatting sqref="B9:Y9">
    <cfRule type="expression" dxfId="1" priority="4">
      <formula>LEFT(B9,5)="Hobbs"</formula>
    </cfRule>
    <cfRule type="expression" dxfId="0" priority="5">
      <formula>LEFT(B9,5)="Biggs"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19" customWidth="1"/>
    <col min="3" max="3" width="23" customWidth="1"/>
    <col min="4" max="4" width="15" customWidth="1"/>
    <col min="5" max="5" width="18" customWidth="1"/>
    <col min="6" max="6" width="60" customWidth="1"/>
  </cols>
  <sheetData>
    <row r="1" spans="1:6" ht="30" customHeight="1" x14ac:dyDescent="0.25">
      <c r="A1" s="1" t="s">
        <v>95</v>
      </c>
      <c r="B1" s="1"/>
      <c r="C1" s="1"/>
      <c r="D1" s="1"/>
      <c r="E1" s="1"/>
      <c r="F1" s="1"/>
    </row>
    <row r="2" spans="1:6" ht="54" customHeight="1" x14ac:dyDescent="0.25">
      <c r="A2" s="41" t="s">
        <v>96</v>
      </c>
      <c r="B2" s="42" t="s">
        <v>97</v>
      </c>
      <c r="C2" s="42" t="s">
        <v>75</v>
      </c>
      <c r="D2" s="42" t="s">
        <v>76</v>
      </c>
      <c r="E2" s="42" t="s">
        <v>98</v>
      </c>
      <c r="F2" s="42" t="s">
        <v>99</v>
      </c>
    </row>
    <row r="3" spans="1:6" ht="54" customHeight="1" x14ac:dyDescent="0.25">
      <c r="A3" s="43">
        <v>46224</v>
      </c>
      <c r="B3" s="44" t="s">
        <v>100</v>
      </c>
      <c r="C3" s="44" t="s">
        <v>101</v>
      </c>
      <c r="D3" s="44" t="s">
        <v>102</v>
      </c>
      <c r="E3" s="45">
        <v>0.81</v>
      </c>
      <c r="F3" s="46" t="s">
        <v>103</v>
      </c>
    </row>
    <row r="4" spans="1:6" ht="54" customHeight="1" x14ac:dyDescent="0.25">
      <c r="A4" s="43">
        <v>46224</v>
      </c>
      <c r="B4" s="44" t="s">
        <v>104</v>
      </c>
      <c r="C4" s="44" t="s">
        <v>101</v>
      </c>
      <c r="D4" s="44" t="s">
        <v>102</v>
      </c>
      <c r="E4" s="45">
        <v>0.77</v>
      </c>
      <c r="F4" s="46" t="s">
        <v>105</v>
      </c>
    </row>
    <row r="5" spans="1:6" ht="54" customHeight="1" x14ac:dyDescent="0.25">
      <c r="A5" s="43">
        <v>46274</v>
      </c>
      <c r="B5" s="44" t="s">
        <v>100</v>
      </c>
      <c r="C5" s="44" t="s">
        <v>101</v>
      </c>
      <c r="D5" s="44" t="s">
        <v>102</v>
      </c>
      <c r="E5" s="45">
        <v>0.87</v>
      </c>
      <c r="F5" s="46" t="s">
        <v>106</v>
      </c>
    </row>
    <row r="6" spans="1:6" ht="54" customHeight="1" x14ac:dyDescent="0.25">
      <c r="A6" s="47">
        <v>46274</v>
      </c>
      <c r="B6" s="48" t="s">
        <v>100</v>
      </c>
      <c r="C6" s="48" t="s">
        <v>81</v>
      </c>
      <c r="D6" s="48" t="s">
        <v>82</v>
      </c>
      <c r="E6" s="49">
        <v>0.15</v>
      </c>
      <c r="F6" s="50" t="s">
        <v>107</v>
      </c>
    </row>
    <row r="7" spans="1:6" ht="54" customHeight="1" x14ac:dyDescent="0.25">
      <c r="A7" s="47">
        <v>46294</v>
      </c>
      <c r="B7" s="48" t="s">
        <v>100</v>
      </c>
      <c r="C7" s="48" t="s">
        <v>81</v>
      </c>
      <c r="D7" s="48" t="s">
        <v>82</v>
      </c>
      <c r="E7" s="49">
        <v>0.13</v>
      </c>
      <c r="F7" s="50" t="s">
        <v>108</v>
      </c>
    </row>
    <row r="8" spans="1:6" ht="54" customHeight="1" x14ac:dyDescent="0.25">
      <c r="A8" s="43">
        <v>46304</v>
      </c>
      <c r="B8" s="44" t="s">
        <v>100</v>
      </c>
      <c r="C8" s="44" t="s">
        <v>101</v>
      </c>
      <c r="D8" s="44" t="s">
        <v>102</v>
      </c>
      <c r="E8" s="45">
        <v>0.86</v>
      </c>
      <c r="F8" s="46" t="s">
        <v>109</v>
      </c>
    </row>
    <row r="9" spans="1:6" ht="54" customHeight="1" x14ac:dyDescent="0.25">
      <c r="A9" s="47">
        <v>46304</v>
      </c>
      <c r="B9" s="48" t="s">
        <v>100</v>
      </c>
      <c r="C9" s="48" t="s">
        <v>81</v>
      </c>
      <c r="D9" s="48" t="s">
        <v>82</v>
      </c>
      <c r="E9" s="49">
        <v>0.14000000000000001</v>
      </c>
      <c r="F9" s="50" t="s">
        <v>110</v>
      </c>
    </row>
    <row r="10" spans="1:6" ht="54" customHeight="1" x14ac:dyDescent="0.25">
      <c r="A10" s="43">
        <v>46304</v>
      </c>
      <c r="B10" s="44" t="s">
        <v>104</v>
      </c>
      <c r="C10" s="44" t="s">
        <v>101</v>
      </c>
      <c r="D10" s="44" t="s">
        <v>102</v>
      </c>
      <c r="E10" s="45">
        <v>0.91</v>
      </c>
      <c r="F10" s="46" t="s">
        <v>111</v>
      </c>
    </row>
    <row r="11" spans="1:6" ht="54" customHeight="1" x14ac:dyDescent="0.25">
      <c r="A11" s="47">
        <v>46304</v>
      </c>
      <c r="B11" s="48" t="s">
        <v>104</v>
      </c>
      <c r="C11" s="48" t="s">
        <v>81</v>
      </c>
      <c r="D11" s="48" t="s">
        <v>82</v>
      </c>
      <c r="E11" s="49">
        <v>0.1</v>
      </c>
      <c r="F11" s="50" t="s">
        <v>111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34" customWidth="1"/>
    <col min="2" max="24" width="19" customWidth="1"/>
  </cols>
  <sheetData>
    <row r="1" spans="1:24" ht="36" customHeight="1" x14ac:dyDescent="0.25">
      <c r="A1" s="41" t="s">
        <v>3</v>
      </c>
      <c r="B1" s="42" t="s">
        <v>80</v>
      </c>
      <c r="C1" s="42" t="s">
        <v>80</v>
      </c>
      <c r="D1" s="42" t="s">
        <v>20</v>
      </c>
      <c r="E1" s="42" t="s">
        <v>10</v>
      </c>
      <c r="F1" s="42" t="s">
        <v>18</v>
      </c>
      <c r="G1" s="42" t="s">
        <v>12</v>
      </c>
      <c r="H1" s="42" t="s">
        <v>10</v>
      </c>
      <c r="I1" s="42" t="s">
        <v>20</v>
      </c>
      <c r="J1" s="42" t="s">
        <v>13</v>
      </c>
      <c r="K1" s="42" t="s">
        <v>19</v>
      </c>
      <c r="L1" s="42" t="s">
        <v>17</v>
      </c>
      <c r="M1" s="42" t="s">
        <v>12</v>
      </c>
      <c r="N1" s="42" t="s">
        <v>18</v>
      </c>
      <c r="O1" s="42" t="s">
        <v>12</v>
      </c>
      <c r="P1" s="42" t="s">
        <v>11</v>
      </c>
      <c r="Q1" s="42" t="s">
        <v>18</v>
      </c>
    </row>
    <row r="2" spans="1:24" x14ac:dyDescent="0.25">
      <c r="A2" s="51" t="s">
        <v>112</v>
      </c>
      <c r="B2" s="52">
        <v>45681</v>
      </c>
      <c r="C2" s="52">
        <v>45749</v>
      </c>
      <c r="D2" s="52">
        <v>45753</v>
      </c>
      <c r="E2" s="52">
        <v>45800</v>
      </c>
      <c r="F2" s="52">
        <v>45825</v>
      </c>
      <c r="G2" s="52">
        <v>45880</v>
      </c>
      <c r="H2" s="52">
        <v>45888</v>
      </c>
      <c r="I2" s="52">
        <v>45908</v>
      </c>
      <c r="J2" s="52">
        <v>45956</v>
      </c>
      <c r="K2" s="52">
        <v>45969</v>
      </c>
      <c r="L2" s="52">
        <v>46044</v>
      </c>
      <c r="M2" s="52">
        <v>46076</v>
      </c>
      <c r="N2" s="52">
        <v>46125</v>
      </c>
      <c r="O2" s="52">
        <v>46147</v>
      </c>
      <c r="P2" s="52">
        <v>46155</v>
      </c>
      <c r="Q2" s="52">
        <v>46189</v>
      </c>
      <c r="S2" t="s">
        <v>113</v>
      </c>
    </row>
    <row r="3" spans="1:24" x14ac:dyDescent="0.25">
      <c r="A3" s="51" t="s">
        <v>114</v>
      </c>
      <c r="B3" s="52">
        <v>45683</v>
      </c>
      <c r="C3" s="52">
        <v>45753</v>
      </c>
      <c r="D3" s="52">
        <v>45756</v>
      </c>
      <c r="E3" s="52">
        <v>45802</v>
      </c>
      <c r="F3" s="52">
        <v>45826</v>
      </c>
      <c r="G3" s="52">
        <v>45887</v>
      </c>
      <c r="H3" s="52">
        <v>45890</v>
      </c>
      <c r="I3" s="52">
        <v>45910</v>
      </c>
      <c r="J3" s="52">
        <v>45958</v>
      </c>
      <c r="K3" s="52">
        <v>45971</v>
      </c>
      <c r="L3" s="52">
        <v>46046</v>
      </c>
      <c r="M3" s="52">
        <v>46079</v>
      </c>
      <c r="N3" s="52">
        <v>46128</v>
      </c>
      <c r="O3" s="52">
        <v>46149</v>
      </c>
      <c r="P3" s="52">
        <v>46157</v>
      </c>
      <c r="Q3" s="52">
        <v>46190</v>
      </c>
    </row>
    <row r="4" spans="1:24" ht="43.5" customHeight="1" x14ac:dyDescent="0.25">
      <c r="A4" s="51" t="s">
        <v>115</v>
      </c>
      <c r="B4" s="53" t="s">
        <v>116</v>
      </c>
      <c r="C4" s="53" t="s">
        <v>116</v>
      </c>
      <c r="D4" s="53" t="s">
        <v>117</v>
      </c>
      <c r="E4" s="53" t="s">
        <v>117</v>
      </c>
      <c r="F4" s="53" t="s">
        <v>117</v>
      </c>
      <c r="G4" s="53" t="s">
        <v>116</v>
      </c>
      <c r="H4" s="53" t="s">
        <v>116</v>
      </c>
      <c r="I4" s="53" t="s">
        <v>117</v>
      </c>
      <c r="J4" s="53" t="s">
        <v>117</v>
      </c>
      <c r="K4" s="53" t="s">
        <v>116</v>
      </c>
      <c r="L4" s="53" t="s">
        <v>117</v>
      </c>
      <c r="M4" s="53" t="s">
        <v>116</v>
      </c>
      <c r="N4" s="53" t="s">
        <v>117</v>
      </c>
      <c r="O4" s="53" t="s">
        <v>116</v>
      </c>
      <c r="P4" s="53" t="s">
        <v>117</v>
      </c>
      <c r="Q4" s="53" t="s">
        <v>117</v>
      </c>
    </row>
    <row r="5" spans="1:24" ht="24" customHeight="1" x14ac:dyDescent="0.25">
      <c r="A5" s="54" t="s">
        <v>118</v>
      </c>
      <c r="B5" s="55">
        <v>0.71</v>
      </c>
      <c r="C5" s="55">
        <v>0.66</v>
      </c>
      <c r="D5" s="55">
        <v>0.45</v>
      </c>
      <c r="E5" s="55">
        <v>0.56999999999999995</v>
      </c>
      <c r="F5" s="55">
        <v>0.49</v>
      </c>
      <c r="G5" s="55">
        <v>0.27</v>
      </c>
      <c r="H5" s="55">
        <v>0.65</v>
      </c>
      <c r="I5" s="55">
        <v>0.48</v>
      </c>
      <c r="J5" s="55">
        <v>0.43</v>
      </c>
      <c r="K5" s="55">
        <v>0.5</v>
      </c>
      <c r="L5" s="55">
        <v>0.28000000000000003</v>
      </c>
      <c r="M5" s="55">
        <v>0.4</v>
      </c>
      <c r="N5" s="55">
        <v>0.52</v>
      </c>
      <c r="O5" s="55">
        <v>0.48</v>
      </c>
      <c r="P5" s="55">
        <v>0.55000000000000004</v>
      </c>
      <c r="Q5" s="55">
        <v>0.56999999999999995</v>
      </c>
    </row>
    <row r="6" spans="1:24" ht="24" customHeight="1" x14ac:dyDescent="0.25">
      <c r="A6" s="54" t="s">
        <v>119</v>
      </c>
      <c r="B6" s="55">
        <v>0.14000000000000001</v>
      </c>
      <c r="C6" s="55">
        <v>0.15</v>
      </c>
      <c r="D6" s="55">
        <v>0.16</v>
      </c>
      <c r="E6" s="55">
        <v>0.25</v>
      </c>
      <c r="F6" s="55">
        <v>0.26</v>
      </c>
      <c r="G6" s="55">
        <v>0.37</v>
      </c>
      <c r="H6" s="55">
        <v>0.14000000000000001</v>
      </c>
      <c r="I6" s="55">
        <v>0.26</v>
      </c>
      <c r="J6" s="55">
        <v>0.19</v>
      </c>
      <c r="K6" s="55">
        <v>0.17</v>
      </c>
      <c r="L6" s="55">
        <v>0.19</v>
      </c>
      <c r="M6" s="55" t="s">
        <v>86</v>
      </c>
      <c r="N6" s="55" t="s">
        <v>86</v>
      </c>
      <c r="O6" s="55" t="s">
        <v>86</v>
      </c>
      <c r="P6" s="55" t="s">
        <v>86</v>
      </c>
      <c r="Q6" s="55" t="s">
        <v>86</v>
      </c>
      <c r="S6" t="s">
        <v>2</v>
      </c>
    </row>
    <row r="7" spans="1:24" ht="24" customHeight="1" x14ac:dyDescent="0.25">
      <c r="A7" s="54" t="s">
        <v>120</v>
      </c>
      <c r="B7" s="55" t="s">
        <v>86</v>
      </c>
      <c r="C7" s="55" t="s">
        <v>86</v>
      </c>
      <c r="D7" s="55" t="s">
        <v>86</v>
      </c>
      <c r="E7" s="55" t="s">
        <v>86</v>
      </c>
      <c r="F7" s="55" t="s">
        <v>86</v>
      </c>
      <c r="G7" s="55" t="s">
        <v>86</v>
      </c>
      <c r="H7" s="55" t="s">
        <v>86</v>
      </c>
      <c r="I7" s="55">
        <v>0.11</v>
      </c>
      <c r="J7" s="55">
        <v>0.02</v>
      </c>
      <c r="K7" s="55">
        <v>0.08</v>
      </c>
      <c r="L7" s="55">
        <v>0.12</v>
      </c>
      <c r="M7" s="55">
        <v>0.19</v>
      </c>
      <c r="N7" s="55">
        <v>0.1</v>
      </c>
      <c r="O7" s="55">
        <v>0.18</v>
      </c>
      <c r="P7" s="55">
        <v>0.09</v>
      </c>
      <c r="Q7" s="55">
        <v>0.11</v>
      </c>
    </row>
    <row r="8" spans="1:24" ht="24" customHeight="1" x14ac:dyDescent="0.25">
      <c r="A8" s="56" t="s">
        <v>93</v>
      </c>
      <c r="B8" s="57" t="s">
        <v>86</v>
      </c>
      <c r="C8" s="57">
        <v>0.04</v>
      </c>
      <c r="D8" s="57" t="s">
        <v>86</v>
      </c>
      <c r="E8" s="57" t="s">
        <v>86</v>
      </c>
      <c r="F8" s="57">
        <v>0.08</v>
      </c>
      <c r="G8" s="57" t="s">
        <v>86</v>
      </c>
      <c r="H8" s="57" t="s">
        <v>86</v>
      </c>
      <c r="I8" s="57" t="s">
        <v>86</v>
      </c>
      <c r="J8" s="57" t="s">
        <v>86</v>
      </c>
      <c r="K8" s="57">
        <v>0.01</v>
      </c>
      <c r="L8" s="57" t="s">
        <v>86</v>
      </c>
      <c r="M8" s="57" t="s">
        <v>86</v>
      </c>
      <c r="N8" s="57">
        <v>0.03</v>
      </c>
      <c r="O8" s="57" t="s">
        <v>86</v>
      </c>
      <c r="P8" s="57">
        <v>0.02</v>
      </c>
      <c r="Q8" s="57">
        <v>0.05</v>
      </c>
    </row>
    <row r="9" spans="1:24" ht="24" customHeight="1" x14ac:dyDescent="0.25">
      <c r="A9" s="56" t="s">
        <v>94</v>
      </c>
      <c r="B9" s="57">
        <v>0.15</v>
      </c>
      <c r="C9" s="57">
        <v>0.15</v>
      </c>
      <c r="D9" s="57">
        <v>0.39</v>
      </c>
      <c r="E9" s="57">
        <v>0.18</v>
      </c>
      <c r="F9" s="57">
        <v>0.17</v>
      </c>
      <c r="G9" s="57">
        <v>0.36</v>
      </c>
      <c r="H9" s="57">
        <v>0.21</v>
      </c>
      <c r="I9" s="57">
        <v>0.15</v>
      </c>
      <c r="J9" s="57">
        <v>0.36</v>
      </c>
      <c r="K9" s="57">
        <v>0.24</v>
      </c>
      <c r="L9" s="57">
        <v>0.41</v>
      </c>
      <c r="M9" s="57">
        <v>0.41</v>
      </c>
      <c r="N9" s="57">
        <v>0.35</v>
      </c>
      <c r="O9" s="57">
        <v>0.34</v>
      </c>
      <c r="P9" s="57">
        <v>0.34</v>
      </c>
      <c r="Q9" s="57">
        <v>0.27</v>
      </c>
    </row>
    <row r="12" spans="1:24" ht="36" customHeight="1" x14ac:dyDescent="0.25">
      <c r="A12" s="41" t="s">
        <v>3</v>
      </c>
      <c r="B12" s="42" t="s">
        <v>10</v>
      </c>
      <c r="C12" s="42" t="s">
        <v>12</v>
      </c>
      <c r="D12" s="42" t="s">
        <v>20</v>
      </c>
      <c r="E12" s="42" t="s">
        <v>12</v>
      </c>
      <c r="F12" s="42" t="s">
        <v>12</v>
      </c>
      <c r="G12" s="42" t="s">
        <v>19</v>
      </c>
      <c r="H12" s="42" t="s">
        <v>18</v>
      </c>
      <c r="I12" s="42" t="s">
        <v>17</v>
      </c>
      <c r="J12" s="42" t="s">
        <v>12</v>
      </c>
      <c r="K12" s="42" t="s">
        <v>16</v>
      </c>
      <c r="L12" s="42" t="s">
        <v>12</v>
      </c>
      <c r="M12" s="42" t="s">
        <v>15</v>
      </c>
      <c r="N12" s="42" t="s">
        <v>14</v>
      </c>
      <c r="O12" s="42" t="s">
        <v>13</v>
      </c>
      <c r="P12" s="42" t="s">
        <v>12</v>
      </c>
      <c r="Q12" s="42" t="s">
        <v>11</v>
      </c>
      <c r="R12" s="42" t="s">
        <v>10</v>
      </c>
      <c r="S12" s="42" t="s">
        <v>9</v>
      </c>
      <c r="T12" s="42" t="s">
        <v>8</v>
      </c>
      <c r="U12" s="42" t="s">
        <v>7</v>
      </c>
      <c r="V12" s="42" t="s">
        <v>6</v>
      </c>
      <c r="W12" s="42" t="s">
        <v>5</v>
      </c>
      <c r="X12" s="42" t="s">
        <v>4</v>
      </c>
    </row>
    <row r="13" spans="1:24" x14ac:dyDescent="0.25">
      <c r="A13" s="51" t="s">
        <v>112</v>
      </c>
      <c r="B13" s="52">
        <v>45693</v>
      </c>
      <c r="C13" s="52">
        <v>45699</v>
      </c>
      <c r="D13" s="52">
        <v>45753</v>
      </c>
      <c r="E13" s="52">
        <v>45789</v>
      </c>
      <c r="F13" s="52">
        <v>45880</v>
      </c>
      <c r="G13" s="52">
        <v>45969</v>
      </c>
      <c r="H13" s="52">
        <v>46006</v>
      </c>
      <c r="I13" s="52">
        <v>46044</v>
      </c>
      <c r="J13" s="52">
        <v>46076</v>
      </c>
      <c r="K13" s="52">
        <v>46132</v>
      </c>
      <c r="L13" s="52">
        <v>46147</v>
      </c>
      <c r="M13" s="52">
        <v>46229</v>
      </c>
      <c r="N13" s="52">
        <v>46230</v>
      </c>
      <c r="O13" s="52">
        <v>46243</v>
      </c>
      <c r="P13" s="52">
        <v>46244</v>
      </c>
      <c r="Q13" s="52">
        <v>46245</v>
      </c>
      <c r="R13" s="52">
        <v>46247</v>
      </c>
      <c r="S13" s="52">
        <v>46248</v>
      </c>
      <c r="T13" s="52">
        <v>46249</v>
      </c>
      <c r="U13" s="52">
        <v>46251</v>
      </c>
      <c r="V13" s="52">
        <v>46252</v>
      </c>
      <c r="W13" s="52">
        <v>46266</v>
      </c>
      <c r="X13" s="52">
        <v>46295</v>
      </c>
    </row>
    <row r="14" spans="1:24" x14ac:dyDescent="0.25">
      <c r="A14" s="51" t="s">
        <v>114</v>
      </c>
      <c r="B14" s="52">
        <v>45695</v>
      </c>
      <c r="C14" s="52">
        <v>45701</v>
      </c>
      <c r="D14" s="52">
        <v>45756</v>
      </c>
      <c r="E14" s="52">
        <v>45793</v>
      </c>
      <c r="F14" s="52">
        <v>45887</v>
      </c>
      <c r="G14" s="52">
        <v>45971</v>
      </c>
      <c r="H14" s="52">
        <v>46008</v>
      </c>
      <c r="I14" s="52">
        <v>46046</v>
      </c>
      <c r="J14" s="52">
        <v>46079</v>
      </c>
      <c r="K14" s="52">
        <v>46136</v>
      </c>
      <c r="L14" s="52">
        <v>46149</v>
      </c>
      <c r="M14" s="52">
        <v>46231</v>
      </c>
      <c r="N14" s="52">
        <v>46233</v>
      </c>
      <c r="O14" s="52">
        <v>46245</v>
      </c>
      <c r="P14" s="52">
        <v>46247</v>
      </c>
      <c r="Q14" s="52">
        <v>46247</v>
      </c>
      <c r="R14" s="52">
        <v>46250</v>
      </c>
      <c r="S14" s="52">
        <v>46251</v>
      </c>
      <c r="T14" s="52">
        <v>46252</v>
      </c>
      <c r="U14" s="52">
        <v>46253</v>
      </c>
      <c r="V14" s="52">
        <v>46269</v>
      </c>
      <c r="W14" s="52">
        <v>46274</v>
      </c>
      <c r="X14" s="52">
        <v>46300</v>
      </c>
    </row>
    <row r="15" spans="1:24" ht="43.5" customHeight="1" x14ac:dyDescent="0.25">
      <c r="A15" s="51" t="s">
        <v>115</v>
      </c>
      <c r="B15" s="53" t="s">
        <v>117</v>
      </c>
      <c r="C15" s="53" t="s">
        <v>116</v>
      </c>
      <c r="D15" s="53" t="s">
        <v>117</v>
      </c>
      <c r="E15" s="53" t="s">
        <v>116</v>
      </c>
      <c r="F15" s="53" t="s">
        <v>116</v>
      </c>
      <c r="G15" s="53" t="s">
        <v>116</v>
      </c>
      <c r="H15" s="53" t="s">
        <v>117</v>
      </c>
      <c r="I15" s="53" t="s">
        <v>117</v>
      </c>
      <c r="J15" s="53" t="s">
        <v>116</v>
      </c>
      <c r="K15" s="53" t="s">
        <v>117</v>
      </c>
      <c r="L15" s="53" t="s">
        <v>116</v>
      </c>
      <c r="M15" s="53" t="s">
        <v>117</v>
      </c>
      <c r="N15" s="53" t="s">
        <v>117</v>
      </c>
      <c r="O15" s="53" t="s">
        <v>86</v>
      </c>
      <c r="P15" s="53" t="s">
        <v>117</v>
      </c>
      <c r="Q15" s="53" t="s">
        <v>117</v>
      </c>
      <c r="R15" s="53" t="s">
        <v>117</v>
      </c>
      <c r="S15" s="53" t="s">
        <v>117</v>
      </c>
      <c r="T15" s="53" t="s">
        <v>117</v>
      </c>
      <c r="U15" s="53" t="s">
        <v>116</v>
      </c>
      <c r="V15" s="53" t="s">
        <v>117</v>
      </c>
      <c r="W15" s="53" t="s">
        <v>86</v>
      </c>
      <c r="X15" s="53" t="s">
        <v>86</v>
      </c>
    </row>
    <row r="16" spans="1:24" ht="24" customHeight="1" x14ac:dyDescent="0.25">
      <c r="A16" s="58" t="s">
        <v>121</v>
      </c>
      <c r="B16" s="59">
        <v>0.43</v>
      </c>
      <c r="C16" s="59">
        <v>0.4</v>
      </c>
      <c r="D16" s="59">
        <v>0.46</v>
      </c>
      <c r="E16" s="59">
        <v>0.4</v>
      </c>
      <c r="F16" s="59">
        <v>0.39</v>
      </c>
      <c r="G16" s="59">
        <v>0.44</v>
      </c>
      <c r="H16" s="59">
        <v>0.51</v>
      </c>
      <c r="I16" s="59">
        <v>0.5</v>
      </c>
      <c r="J16" s="59">
        <v>0.42</v>
      </c>
      <c r="K16" s="59">
        <v>0.48</v>
      </c>
      <c r="L16" s="59">
        <v>0.41</v>
      </c>
      <c r="M16" s="59">
        <v>0.52</v>
      </c>
      <c r="N16" s="59">
        <v>0.52</v>
      </c>
      <c r="O16" s="59">
        <v>0.49</v>
      </c>
      <c r="P16" s="59">
        <v>0.48</v>
      </c>
      <c r="Q16" s="59">
        <v>0.43</v>
      </c>
      <c r="R16" s="59">
        <v>0.45</v>
      </c>
      <c r="S16" s="59">
        <v>0.49099999999999999</v>
      </c>
      <c r="T16" s="59">
        <v>0.495</v>
      </c>
      <c r="U16" s="59">
        <v>0.39</v>
      </c>
      <c r="V16" s="59">
        <v>0.47</v>
      </c>
      <c r="W16" s="59">
        <v>0.49</v>
      </c>
      <c r="X16" s="59">
        <v>0.49</v>
      </c>
    </row>
    <row r="17" spans="1:24" ht="24" customHeight="1" x14ac:dyDescent="0.25">
      <c r="A17" s="54" t="s">
        <v>118</v>
      </c>
      <c r="B17" s="60">
        <v>0.44</v>
      </c>
      <c r="C17" s="60">
        <v>0.38</v>
      </c>
      <c r="D17" s="60">
        <v>0.42</v>
      </c>
      <c r="E17" s="60">
        <v>0.38</v>
      </c>
      <c r="F17" s="60">
        <v>0.37</v>
      </c>
      <c r="G17" s="60">
        <v>0.43</v>
      </c>
      <c r="H17" s="60">
        <v>0.32</v>
      </c>
      <c r="I17" s="60">
        <v>0.41</v>
      </c>
      <c r="J17" s="60">
        <v>0.37</v>
      </c>
      <c r="K17" s="60">
        <v>0.38</v>
      </c>
      <c r="L17" s="60">
        <v>0.37</v>
      </c>
      <c r="M17" s="60">
        <v>0.44</v>
      </c>
      <c r="N17" s="60">
        <v>0.48</v>
      </c>
      <c r="O17" s="60">
        <v>0.45</v>
      </c>
      <c r="P17" s="60">
        <v>0.35</v>
      </c>
      <c r="Q17" s="60">
        <v>0.38</v>
      </c>
      <c r="R17" s="60">
        <v>0.4</v>
      </c>
      <c r="S17" s="60">
        <v>0.432</v>
      </c>
      <c r="T17" s="60">
        <v>0.34300000000000003</v>
      </c>
      <c r="U17" s="60">
        <v>0.38</v>
      </c>
      <c r="V17" s="60">
        <v>0.34</v>
      </c>
      <c r="W17" s="60">
        <v>0.43</v>
      </c>
      <c r="X17" s="60">
        <v>0.45</v>
      </c>
    </row>
    <row r="18" spans="1:24" ht="24" customHeight="1" x14ac:dyDescent="0.25">
      <c r="A18" s="56" t="s">
        <v>48</v>
      </c>
      <c r="B18" s="61">
        <v>0.13</v>
      </c>
      <c r="C18" s="61">
        <v>0.22</v>
      </c>
      <c r="D18" s="61">
        <v>0.12</v>
      </c>
      <c r="E18" s="61">
        <v>0.22</v>
      </c>
      <c r="F18" s="61">
        <v>0.24</v>
      </c>
      <c r="G18" s="61">
        <v>0.13</v>
      </c>
      <c r="H18" s="61">
        <v>0.17</v>
      </c>
      <c r="I18" s="61">
        <v>0.09</v>
      </c>
      <c r="J18" s="61">
        <v>0.21</v>
      </c>
      <c r="K18" s="61">
        <v>0.14000000000000001</v>
      </c>
      <c r="L18" s="61">
        <v>0.22</v>
      </c>
      <c r="M18" s="61">
        <v>0.04</v>
      </c>
      <c r="N18" s="61">
        <v>0</v>
      </c>
      <c r="O18" s="61">
        <v>0.06</v>
      </c>
      <c r="P18" s="61">
        <v>0.17</v>
      </c>
      <c r="Q18" s="61">
        <v>0.19</v>
      </c>
      <c r="R18" s="61">
        <v>0.15</v>
      </c>
      <c r="S18" s="61">
        <v>7.6999999999999999E-2</v>
      </c>
      <c r="T18" s="61">
        <v>0.16200000000000001</v>
      </c>
      <c r="U18" s="61">
        <v>0.23</v>
      </c>
      <c r="V18" s="61">
        <v>0.19</v>
      </c>
      <c r="W18" s="61">
        <v>0.08</v>
      </c>
      <c r="X18" s="61">
        <v>0.06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Gobernador Arizona</vt:lpstr>
      <vt:lpstr>Apuestas</vt:lpstr>
      <vt:lpstr>Histórico 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CASIOPEA 2024 GOB</cp:lastModifiedBy>
  <cp:revision>0</cp:revision>
  <dcterms:created xsi:type="dcterms:W3CDTF">2026-10-09T20:11:38Z</dcterms:created>
  <dcterms:modified xsi:type="dcterms:W3CDTF">2026-10-09T20:53:23Z</dcterms:modified>
  <dc:language>en-US</dc:language>
</cp:coreProperties>
</file>