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565658ce3cbf34/Dokumente/encuestas gubernaturas eu/"/>
    </mc:Choice>
  </mc:AlternateContent>
  <xr:revisionPtr revIDLastSave="0" documentId="8_{7BC90131-D2FD-4DD2-9A93-CD215D84274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obernador California" sheetId="1" r:id="rId1"/>
    <sheet name="Apuestas" sheetId="2" state="hidden" r:id="rId2"/>
    <sheet name="Histórico encuest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1" l="1"/>
  <c r="D19" i="1"/>
  <c r="C19" i="1"/>
  <c r="B19" i="1"/>
  <c r="D18" i="1"/>
  <c r="C18" i="1"/>
  <c r="B18" i="1"/>
  <c r="E16" i="1"/>
  <c r="E15" i="1"/>
  <c r="E17" i="1" s="1"/>
  <c r="E18" i="1" s="1"/>
  <c r="M9" i="1"/>
  <c r="L9" i="1"/>
  <c r="K9" i="1"/>
  <c r="J9" i="1"/>
  <c r="I9" i="1"/>
  <c r="H9" i="1"/>
  <c r="G9" i="1"/>
  <c r="F9" i="1"/>
  <c r="E9" i="1"/>
  <c r="D9" i="1"/>
  <c r="C9" i="1"/>
  <c r="B9" i="1"/>
  <c r="BV8" i="1"/>
  <c r="BU8" i="1"/>
  <c r="BT8" i="1"/>
  <c r="BS8" i="1"/>
  <c r="BR8" i="1"/>
  <c r="BQ8" i="1"/>
  <c r="BP8" i="1"/>
  <c r="BO8" i="1"/>
  <c r="BN8" i="1"/>
  <c r="BM8" i="1"/>
  <c r="BL8" i="1"/>
  <c r="BK8" i="1"/>
  <c r="BF8" i="1"/>
  <c r="BE8" i="1"/>
  <c r="BD8" i="1"/>
  <c r="BC8" i="1"/>
  <c r="BB8" i="1"/>
  <c r="BA8" i="1"/>
  <c r="AZ8" i="1"/>
  <c r="AY8" i="1"/>
  <c r="AX8" i="1"/>
  <c r="AW8" i="1"/>
  <c r="AV8" i="1"/>
  <c r="AU8" i="1"/>
  <c r="AP8" i="1"/>
  <c r="AO8" i="1"/>
  <c r="AN8" i="1"/>
  <c r="AM8" i="1"/>
  <c r="AL8" i="1"/>
  <c r="AK8" i="1"/>
  <c r="AJ8" i="1"/>
  <c r="AI8" i="1"/>
  <c r="AH8" i="1"/>
  <c r="AG8" i="1"/>
  <c r="AF8" i="1"/>
  <c r="AE8" i="1"/>
  <c r="Z8" i="1"/>
  <c r="Y8" i="1"/>
  <c r="X8" i="1"/>
  <c r="W8" i="1"/>
  <c r="V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BY7" i="1"/>
  <c r="BY8" i="1" s="1"/>
  <c r="BX7" i="1"/>
  <c r="BX8" i="1" s="1"/>
  <c r="BW7" i="1"/>
  <c r="BW8" i="1" s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J8" i="1" s="1"/>
  <c r="BI7" i="1"/>
  <c r="BI8" i="1" s="1"/>
  <c r="BH7" i="1"/>
  <c r="BH8" i="1" s="1"/>
  <c r="BG7" i="1"/>
  <c r="BG8" i="1" s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T8" i="1" s="1"/>
  <c r="AS7" i="1"/>
  <c r="AS8" i="1" s="1"/>
  <c r="AR7" i="1"/>
  <c r="AR8" i="1" s="1"/>
  <c r="AQ7" i="1"/>
  <c r="AQ8" i="1" s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D8" i="1" s="1"/>
  <c r="AC7" i="1"/>
  <c r="AC8" i="1" s="1"/>
  <c r="AB7" i="1"/>
  <c r="AB8" i="1" s="1"/>
  <c r="AA7" i="1"/>
  <c r="AA8" i="1" s="1"/>
  <c r="Z7" i="1"/>
  <c r="Y7" i="1"/>
  <c r="X7" i="1"/>
  <c r="W7" i="1"/>
  <c r="V7" i="1"/>
  <c r="T7" i="1"/>
  <c r="S7" i="1"/>
  <c r="R7" i="1"/>
  <c r="Q7" i="1"/>
  <c r="P7" i="1"/>
  <c r="O7" i="1"/>
  <c r="N7" i="1"/>
  <c r="CC6" i="1"/>
  <c r="CC5" i="1"/>
  <c r="CC7" i="1" l="1"/>
  <c r="CC8" i="1" s="1"/>
  <c r="C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" authorId="0" shapeId="0" xr:uid="{00000000-0006-0000-0000-000001000000}">
      <text>
        <r>
          <rPr>
            <sz val="10"/>
            <rFont val="Arial"/>
            <family val="2"/>
          </rPr>
          <t>Fuente: Breitbart, 05/10/2026 (encuesta interna de la campaña de Hilton). https://www.breitbart.com/politics/2026/10/05/internal-poll-suggests-steve-hilton-gaining-ground-in-california-governors-race-against-xavier-becerra/
Confirmado en FiftyPlusOne vía PredictionEdge (45.7 / 40.1).
Consulta: 09/10/2026.
David Wolfson. Levantamiento: 2026-10-01 a 2026-10-02. Muestra: 1,020 votantes. Margen: n.d.
Becerra 45.7%; Hilton 40.1%; Indecisos 14.1% (la suma da 99.9 por redondeo de la fuente).</t>
        </r>
      </text>
    </comment>
    <comment ref="C24" authorId="0" shapeId="0" xr:uid="{00000000-0006-0000-0000-000002000000}">
      <text>
        <r>
          <rPr>
            <sz val="10"/>
            <rFont val="Arial"/>
            <family val="2"/>
          </rPr>
          <t>Fuente: California Secretary of State, Statement of Vote, primaria del 2 de junio de 2026 (página resumen de Gobernador). https://elections.cdn.sos.ca.gov/sov/2026-primary/sov/06-sov-summary.pdf
Consulta: 09/10/2026.
Se agregaron Swalwell (28,164; 0.3%), Villaraigosa (104,107; 1.1%), Yee (40,873; 0.4%) y Thurmond (63,762; 0.7%).</t>
        </r>
      </text>
    </comment>
    <comment ref="N25" authorId="0" shapeId="0" xr:uid="{00000000-0006-0000-0000-000003000000}">
      <text>
        <r>
          <rPr>
            <sz val="10"/>
            <rFont val="Arial"/>
            <family val="2"/>
          </rPr>
          <t>Fuente: Wikipedia, 2026 California gubernatorial election, tabla Polling, referencia [327]. https://en.wikipedia.org/wiki/2026_California_gubernatorial_election#Polling
Consulta: 09/10/2026.
SurveyUSA. Levantamiento: 2026-05-28 a 2026-05-31. Muestra: 1,124 (LV). Margen: ± 3.8%.
Becerra: 17%; Bianco: 11%; Hilton: 20%; Mahan: 6%; Porter: 7%; Steyer: 20%; Swalwell: n.d.; Thurmond: 2%; Villaraigosa: 4%; Yee: n.d.. Otros: 1; Indecisos: 12. Los guiones o datos ausentes se conservan como n.d.; no son ceros.
Empate entre Hilton, Steyer.</t>
        </r>
      </text>
    </comment>
    <comment ref="O25" authorId="0" shapeId="0" xr:uid="{00000000-0006-0000-0000-000004000000}">
      <text>
        <r>
          <rPr>
            <sz val="10"/>
            <rFont val="Arial"/>
            <family val="2"/>
          </rPr>
          <t>Fuente: Wikipedia, 2026 California gubernatorial election, tabla Polling, referencia [329]. https://en.wikipedia.org/wiki/2026_California_gubernatorial_election#Polling
Consulta: 09/10/2026.
Public Policy Polling (D). Levantamiento: 2026-05-27 a 2026-05-28. Muestra: 686 (LV). Margen: ± 3.7%.
Becerra: 18%; Bianco: 14%; Hilton: 20%; Mahan: 7%; Porter: 7%; Steyer: 21%; Swalwell: n.d.; Thurmond: n.d.; Villaraigosa: 2%; Yee: n.d.. Otros: 1; Indecisos: 10. Los guiones o datos ausentes se conservan como n.d.; no son ceros.</t>
        </r>
      </text>
    </comment>
    <comment ref="P25" authorId="0" shapeId="0" xr:uid="{00000000-0006-0000-0000-000005000000}">
      <text>
        <r>
          <rPr>
            <sz val="10"/>
            <rFont val="Arial"/>
            <family val="2"/>
          </rPr>
          <t>Fuente: Wikipedia, 2026 California gubernatorial election, tabla Polling, referencia [330]. https://en.wikipedia.org/wiki/2026_California_gubernatorial_election#Polling
Consulta: 09/10/2026.
McLaughlin &amp; Associates (R). Levantamiento: 2026-05-26 a 2026-05-28. Muestra: 800 (LV). Margen: ± 3.5%.
Becerra: 19%; Bianco: 10%; Hilton: 25%; Mahan: 6%; Porter: 7%; Steyer: 25%; Swalwell: n.d.; Thurmond: n.d.; Villaraigosa: n.d.; Yee: n.d.. Otros: n.d.; Indecisos: n.d.. Los guiones o datos ausentes se conservan como n.d.; no son ceros.
Empate entre Hilton, Steyer.</t>
        </r>
      </text>
    </comment>
    <comment ref="Q25" authorId="0" shapeId="0" xr:uid="{00000000-0006-0000-0000-000006000000}">
      <text>
        <r>
          <rPr>
            <sz val="10"/>
            <rFont val="Arial"/>
            <family val="2"/>
          </rPr>
          <t>Fuente: Wikipedia, 2026 California gubernatorial election, tabla Polling, referencia [331]. https://en.wikipedia.org/wiki/2026_California_gubernatorial_election#Polling
Consulta: 09/10/2026.
David Binder Research (D). Levantamiento: 2026-05-26 a 2026-05-27. Muestra: —. Margen: ± 4.1%.
Becerra: 26%; Bianco: 9%; Hilton: 27%; Mahan: 4%; Porter: 8%; Steyer: 22%; Swalwell: n.d.; Thurmond: n.d.; Villaraigosa: n.d.; Yee: n.d.. Otros: n.d.; Indecisos: n.d.. Los guiones o datos ausentes se conservan como n.d.; no son ceros.</t>
        </r>
      </text>
    </comment>
    <comment ref="R25" authorId="0" shapeId="0" xr:uid="{00000000-0006-0000-0000-000007000000}">
      <text>
        <r>
          <rPr>
            <sz val="10"/>
            <rFont val="Arial"/>
            <family val="2"/>
          </rPr>
          <t>Fuente: Wikipedia, 2026 California gubernatorial election, tabla Polling, referencia [332]. https://en.wikipedia.org/wiki/2026_California_gubernatorial_election#Polling
Consulta: 09/10/2026.
Kreate Strategies. Levantamiento: 2026-05-23 a 2026-05-27. Muestra: 900 (LV). Margen: ± 3.3%.
Becerra: 27%; Bianco: 9%; Hilton: 26%; Mahan: 4%; Porter: 5%; Steyer: 20%; Swalwell: n.d.; Thurmond: n.d.; Villaraigosa: n.d.; Yee: 1%. Otros: 2; Indecisos: 7. Los guiones o datos ausentes se conservan como n.d.; no son ceros.</t>
        </r>
      </text>
    </comment>
    <comment ref="S25" authorId="0" shapeId="0" xr:uid="{00000000-0006-0000-0000-000008000000}">
      <text>
        <r>
          <rPr>
            <sz val="10"/>
            <rFont val="Arial"/>
            <family val="2"/>
          </rPr>
          <t>Fuente: Wikipedia, 2026 California gubernatorial election, tabla Polling, referencia [333]. https://en.wikipedia.org/wiki/2026_California_gubernatorial_election#Polling
Consulta: 09/10/2026.
CEPP. Levantamiento: 2026-05-23 a 2026-05-26. Muestra: 735 (LV). Margen: ± 3.6%.
Escenario con indecisos presionados a elegir.
Becerra: 29%; Bianco: 11%; Hilton: 23%; Mahan: 4%; Porter: 8%; Steyer: 18%; Swalwell: n.d.; Thurmond: n.d.; Villaraigosa: 3%; Yee: n.d.. Otros: 3; Indecisos: 1. Los guiones o datos ausentes se conservan como n.d.; no son ceros.</t>
        </r>
      </text>
    </comment>
    <comment ref="T25" authorId="0" shapeId="0" xr:uid="{00000000-0006-0000-0000-000009000000}">
      <text>
        <r>
          <rPr>
            <sz val="10"/>
            <rFont val="Arial"/>
            <family val="2"/>
          </rPr>
          <t>Fuente: Wikipedia, 2026 California gubernatorial election, tabla Polling, referencia [334]. https://en.wikipedia.org/wiki/2026_California_gubernatorial_election#Polling
Consulta: 09/10/2026.
Berkeley IGS. Levantamiento: 2026-05-19 a 2026-05-24. Muestra: 5,472 (LV). Margen: ± 2.0%.
Becerra: 25%; Bianco: 11%; Hilton: 21%; Mahan: 4%; Porter: 7%; Steyer: 19%; Swalwell: n.d.; Thurmond: 1%; Villaraigosa: 1%; Yee: n.d.. Otros: 4; Indecisos: 7. Los guiones o datos ausentes se conservan como n.d.; no son ceros.</t>
        </r>
      </text>
    </comment>
    <comment ref="U25" authorId="0" shapeId="0" xr:uid="{00000000-0006-0000-0000-00000A000000}">
      <text>
        <r>
          <rPr>
            <sz val="10"/>
            <rFont val="Arial"/>
            <family val="2"/>
          </rPr>
          <t>Fuente: Wikipedia, 2026 California gubernatorial election, tabla Polling, referencia [335]. https://en.wikipedia.org/wiki/2026_California_gubernatorial_election#Polling
Consulta: 09/10/2026.
Global Strategy Group (D). Levantamiento: 2026-05-18 a 2026-05-21. Muestra: 800 (LV). Margen: —.
Becerra: 19%; Bianco: 12%; Hilton: 22%; Mahan: 8%; Porter: 8%; Steyer: 19%; Swalwell: n.d.; Thurmond: 1%; Villaraigosa: 2%; Yee: n.d.. Otros: n.d.; Indecisos: 7. Los guiones o datos ausentes se conservan como n.d.; no son ceros.</t>
        </r>
      </text>
    </comment>
    <comment ref="V25" authorId="0" shapeId="0" xr:uid="{00000000-0006-0000-0000-00000B000000}">
      <text>
        <r>
          <rPr>
            <sz val="10"/>
            <rFont val="Arial"/>
            <family val="2"/>
          </rPr>
          <t>Fuente: Wikipedia, 2026 California gubernatorial election, tabla Polling, referencia [325]. https://en.wikipedia.org/wiki/2026_California_gubernatorial_election#Polling
Consulta: 09/10/2026.
Echelon Insights (R). Levantamiento: 2026-05-18 a 2026-05-21. Muestra: 800 (LV). Margen: —.
Becerra: 15%; Bianco: 12%; Hilton: 25%; Mahan: 7%; Porter: 7%; Steyer: 18%; Swalwell: n.d.; Thurmond: n.d.; Villaraigosa: 1%; Yee: n.d.. Otros: n.d.; Indecisos: n.d.. Los guiones o datos ausentes se conservan como n.d.; no son ceros.</t>
        </r>
      </text>
    </comment>
    <comment ref="W25" authorId="0" shapeId="0" xr:uid="{00000000-0006-0000-0000-00000C000000}">
      <text>
        <r>
          <rPr>
            <sz val="10"/>
            <rFont val="Arial"/>
            <family val="2"/>
          </rPr>
          <t>Fuente: Wikipedia, 2026 California gubernatorial election, tabla Polling, referencia [338]. https://en.wikipedia.org/wiki/2026_California_gubernatorial_election#Polling
Consulta: 09/10/2026.
Evitarus (D). Levantamiento: 2026-05-14 a 2026-05-16. Muestra: 1,200 (LV). Margen: ± 2.8%.
Becerra: 21%; Bianco: 10%; Hilton: 22%; Mahan: 4%; Porter: 7%; Steyer: 15%; Swalwell: &lt;1%; Thurmond: 1%; Villaraigosa: 1%; Yee: &lt;1%. Otros: 4; Indecisos: 13. Los guiones o datos ausentes se conservan como n.d.; no son ceros.</t>
        </r>
      </text>
    </comment>
    <comment ref="X25" authorId="0" shapeId="0" xr:uid="{00000000-0006-0000-0000-00000D000000}">
      <text>
        <r>
          <rPr>
            <sz val="10"/>
            <rFont val="Arial"/>
            <family val="2"/>
          </rPr>
          <t>Fuente: Wikipedia, 2026 California gubernatorial election, tabla Polling, referencia [339]. https://en.wikipedia.org/wiki/2026_California_gubernatorial_election#Polling
Consulta: 09/10/2026.
David Binder Research (D). Levantamiento: 2026-05-05 a 2026-05-11. Muestra: —. Margen: ± 3.5%.
Becerra: 22%; Bianco: 13%; Hilton: 23%; Mahan: 7%; Porter: 12%; Steyer: 15%; Swalwell: n.d.; Thurmond: &lt;1%; Villaraigosa: 2%; Yee: n.d.. Otros: n.d.; Indecisos: 6. Los guiones o datos ausentes se conservan como n.d.; no son ceros.</t>
        </r>
      </text>
    </comment>
    <comment ref="Y25" authorId="0" shapeId="0" xr:uid="{00000000-0006-0000-0000-00000E000000}">
      <text>
        <r>
          <rPr>
            <sz val="10"/>
            <rFont val="Arial"/>
            <family val="2"/>
          </rPr>
          <t>Fuente: Wikipedia, 2026 California gubernatorial election, tabla Polling, referencia [341]. https://en.wikipedia.org/wiki/2026_California_gubernatorial_election#Polling
Consulta: 09/10/2026.
Kreate Strategies. Levantamiento: 2026-05-05 a 2026-05-09. Muestra: 900 (LV). Margen: ± 3.3%.
Becerra: 20%; Bianco: 13%; Hilton: 22%; Mahan: 9%; Porter: 9%; Steyer: 14%; Swalwell: n.d.; Thurmond: n.d.; Villaraigosa: 1%; Yee: n.d.. Otros: 2; Indecisos: 10. Los guiones o datos ausentes se conservan como n.d.; no son ceros.</t>
        </r>
      </text>
    </comment>
    <comment ref="Z25" authorId="0" shapeId="0" xr:uid="{00000000-0006-0000-0000-00000F000000}">
      <text>
        <r>
          <rPr>
            <sz val="10"/>
            <rFont val="Arial"/>
            <family val="2"/>
          </rPr>
          <t>Fuente: Wikipedia, 2026 California gubernatorial election, tabla Polling, referencia [342]. https://en.wikipedia.org/wiki/2026_California_gubernatorial_election#Polling
Consulta: 09/10/2026.
Mellman Group (D). Levantamiento: 2026-05-03 a 2026-05-06. Muestra: 600 (LV). Margen: ± 4.0%.
Becerra: 20%; Bianco: 14%; Hilton: 20%; Mahan: 10%; Porter: &lt;10%; Steyer: 12%; Swalwell: n.d.; Thurmond: &lt;10%; Villaraigosa: &lt;10%; Yee: n.d.. Otros: n.d.; Indecisos: 8. Los guiones o datos ausentes se conservan como n.d.; no son ceros.
Empate entre Becerra, Hilton.</t>
        </r>
      </text>
    </comment>
    <comment ref="AA25" authorId="0" shapeId="0" xr:uid="{00000000-0006-0000-0000-000010000000}">
      <text>
        <r>
          <rPr>
            <sz val="10"/>
            <rFont val="Arial"/>
            <family val="2"/>
          </rPr>
          <t>Fuente: Wikipedia, 2026 California gubernatorial election, tabla Polling, referencia [343]. https://en.wikipedia.org/wiki/2026_California_gubernatorial_election#Polling
Consulta: 09/10/2026.
Impact Research (D). Levantamiento: 2026-04-28 a 2026-05-03. Muestra: 900 (LV). Margen: ± 3.3%.
Becerra: 23%; Bianco: 11%; Hilton: 23%; Mahan: 10%; Porter: 9%; Steyer: 14%; Swalwell: n.d.; Thurmond: 1%; Villaraigosa: 1%; Yee: n.d.. Otros: 2; Indecisos: 6. Los guiones o datos ausentes se conservan como n.d.; no son ceros.
Empate entre Becerra, Hilton.</t>
        </r>
      </text>
    </comment>
    <comment ref="AB25" authorId="0" shapeId="0" xr:uid="{00000000-0006-0000-0000-000011000000}">
      <text>
        <r>
          <rPr>
            <sz val="10"/>
            <rFont val="Arial"/>
            <family val="2"/>
          </rPr>
          <t>Fuente: Wikipedia, 2026 California gubernatorial election, tabla Polling, referencia [344]. https://en.wikipedia.org/wiki/2026_California_gubernatorial_election#Polling
Consulta: 09/10/2026.
Evitarus (D). Levantamiento: 2026-04-30 a 2026-05-02. Muestra: 1,200 (LV). Margen: ± 2.8%.
Becerra: 18%; Bianco: 14%; Hilton: 18%; Mahan: 7%; Porter: 8%; Steyer: 12%; Swalwell: 1%; Thurmond: 1%; Villaraigosa: 2%; Yee: 1%. Otros: 3; Indecisos: 14. Los guiones o datos ausentes se conservan como n.d.; no son ceros.
Empate entre Becerra, Hilton.</t>
        </r>
      </text>
    </comment>
    <comment ref="AC25" authorId="0" shapeId="0" xr:uid="{00000000-0006-0000-0000-000012000000}">
      <text>
        <r>
          <rPr>
            <sz val="10"/>
            <rFont val="Arial"/>
            <family val="2"/>
          </rPr>
          <t>Fuente: Wikipedia, 2026 California gubernatorial election, tabla Polling, referencia [345]. https://en.wikipedia.org/wiki/2026_California_gubernatorial_election#Polling
Consulta: 09/10/2026.
SurveyUSA. Levantamiento: 2026-04-28 a 2026-05-01. Muestra: 991 (LV). Margen: ± 4.2%.
Becerra: 10%; Bianco: 12%; Hilton: 20%; Mahan: 7%; Porter: 8%; Steyer: 18%; Swalwell: n.d.; Thurmond: 2%; Villaraigosa: 5%; Yee: n.d.. Otros: 0; Indecisos: 17. Los guiones o datos ausentes se conservan como n.d.; no son ceros.</t>
        </r>
      </text>
    </comment>
    <comment ref="AD25" authorId="0" shapeId="0" xr:uid="{00000000-0006-0000-0000-000013000000}">
      <text>
        <r>
          <rPr>
            <sz val="10"/>
            <rFont val="Arial"/>
            <family val="2"/>
          </rPr>
          <t>Fuente: Wikipedia, 2026 California gubernatorial election, tabla Polling, referencia [346]. https://en.wikipedia.org/wiki/2026_California_gubernatorial_election#Polling
Consulta: 09/10/2026.
Gudelunas Strategies. Levantamiento: 2026-04-23 a 2026-04-27. Muestra: 800 (LV). Margen: ± 3.5%.
Becerra: 24%; Bianco: 13%; Hilton: 23%; Mahan: 6%; Porter: 10%; Steyer: 15%; Swalwell: &lt;1%; Thurmond: 1%; Villaraigosa: 2%; Yee: &lt;1%. Otros: 1; Indecisos: 5. Los guiones o datos ausentes se conservan como n.d.; no son ceros.</t>
        </r>
      </text>
    </comment>
    <comment ref="AE25" authorId="0" shapeId="0" xr:uid="{00000000-0006-0000-0000-000014000000}">
      <text>
        <r>
          <rPr>
            <sz val="10"/>
            <rFont val="Arial"/>
            <family val="2"/>
          </rPr>
          <t>Fuente: Wikipedia, 2026 California gubernatorial election, tabla Polling, referencia [347]. https://en.wikipedia.org/wiki/2026_California_gubernatorial_election#Polling
Consulta: 09/10/2026.
CBS News/YouGov. Levantamiento: 2026-04-23 a 2026-04-27. Muestra: 1,479 (LV). Margen: ± 4.1%.
Becerra: 13%; Bianco: 10%; Hilton: 16%; Mahan: 4%; Porter: 9%; Steyer: 15%; Swalwell: n.d.; Thurmond: 1%; Villaraigosa: 4%; Yee: n.d.. Otros: 2; Indecisos: 26. Los guiones o datos ausentes se conservan como n.d.; no son ceros.</t>
        </r>
      </text>
    </comment>
    <comment ref="AF25" authorId="0" shapeId="0" xr:uid="{00000000-0006-0000-0000-000015000000}">
      <text>
        <r>
          <rPr>
            <sz val="10"/>
            <rFont val="Arial"/>
            <family val="2"/>
          </rPr>
          <t>Fuente: Wikipedia, 2026 California gubernatorial election, tabla Polling, referencia [348]. https://en.wikipedia.org/wiki/2026_California_gubernatorial_election#Polling
Consulta: 09/10/2026.
EMC Research (D). Levantamiento: 2026-04-21 a 2026-04-26. Muestra: 1,000 (LV). Margen: ± 3.1%.
Becerra: 21%; Bianco: 14%; Hilton: 20%; Mahan: 8%; Porter: 8%; Steyer: 17%; Swalwell: n.d.; Thurmond: 2%; Villaraigosa: 3%; Yee: n.d.. Otros: 5; Indecisos: 1. Los guiones o datos ausentes se conservan como n.d.; no son ceros.</t>
        </r>
      </text>
    </comment>
    <comment ref="AG25" authorId="0" shapeId="0" xr:uid="{00000000-0006-0000-0000-000016000000}">
      <text>
        <r>
          <rPr>
            <sz val="10"/>
            <rFont val="Arial"/>
            <family val="2"/>
          </rPr>
          <t>Fuente: Wikipedia, 2026 California gubernatorial election, tabla Polling, referencia [349]. https://en.wikipedia.org/wiki/2026_California_gubernatorial_election#Polling
Consulta: 09/10/2026.
Independent Voter Project. Levantamiento: 2026-04-14 a 2026-04-20. Muestra: 3,404 (LV). Margen: ± 2.2%.
Wikipedia agrupa Otros/Indecisos: 8%. No hay desglose de indecisos.
Becerra: 23%; Bianco: 17%; Hilton: 20%; Mahan: 4%; Porter: 11%; Steyer: 14%; Swalwell: n.d.; Thurmond: 1%; Villaraigosa: 1%; Yee: 1%. Otros: 8; Indecisos: n.d.. Los guiones o datos ausentes se conservan como n.d.; no son ceros.</t>
        </r>
      </text>
    </comment>
    <comment ref="AH25" authorId="0" shapeId="0" xr:uid="{00000000-0006-0000-0000-000017000000}">
      <text>
        <r>
          <rPr>
            <sz val="10"/>
            <rFont val="Arial"/>
            <family val="2"/>
          </rPr>
          <t>Fuente: Wikipedia, 2026 California gubernatorial election, tabla Polling, referencia [350]. https://en.wikipedia.org/wiki/2026_California_gubernatorial_election#Polling
Consulta: 09/10/2026.
Gudelunas Strategies. Levantamiento: 2026-04-14 a 2026-04-18. Muestra: 800 (LV). Margen: ± 3.5%.
Becerra: 15%; Bianco: 14%; Hilton: 20%; Mahan: 6%; Porter: 13%; Steyer: 15%; Swalwell: &lt;1%; Thurmond: 2%; Villaraigosa: 3%; Yee: 2%. Otros: 1; Indecisos: 10. Los guiones o datos ausentes se conservan como n.d.; no son ceros.</t>
        </r>
      </text>
    </comment>
    <comment ref="AI25" authorId="0" shapeId="0" xr:uid="{00000000-0006-0000-0000-000018000000}">
      <text>
        <r>
          <rPr>
            <sz val="10"/>
            <rFont val="Arial"/>
            <family val="2"/>
          </rPr>
          <t>Fuente: Wikipedia, 2026 California gubernatorial election, tabla Polling, referencia [351]. https://en.wikipedia.org/wiki/2026_California_gubernatorial_election#Polling
Consulta: 09/10/2026.
Kreate Strategies. Levantamiento: 2026-04-12 a 2026-04-18. Muestra: 900 (LV). Margen: ± 3.2%.
Becerra: 10%; Bianco: 14%; Hilton: 18%; Mahan: 4%; Porter: 10%; Steyer: 16%; Swalwell: n.d.; Thurmond: n.d.; Villaraigosa: 1%; Yee: 2%. Otros: n.d.; Indecisos: 23. Los guiones o datos ausentes se conservan como n.d.; no son ceros.</t>
        </r>
      </text>
    </comment>
    <comment ref="AJ25" authorId="0" shapeId="0" xr:uid="{00000000-0006-0000-0000-000019000000}">
      <text>
        <r>
          <rPr>
            <sz val="10"/>
            <rFont val="Arial"/>
            <family val="2"/>
          </rPr>
          <t>Fuente: Wikipedia, 2026 California gubernatorial election, tabla Polling, referencia [352]. https://en.wikipedia.org/wiki/2026_California_gubernatorial_election#Polling
Consulta: 09/10/2026.
Evitarus (D). Levantamiento: 2026-04-15 a 2026-04-17. Muestra: 1,200 (LV). Margen: ± 2.8%.
Becerra: 13%; Bianco: 14%; Hilton: 16%; Mahan: 5%; Porter: 10%; Steyer: 13%; Swalwell: 1%; Thurmond: 1%; Villaraigosa: 2%; Yee: 1%. Otros: 4; Indecisos: 20. Los guiones o datos ausentes se conservan como n.d.; no son ceros.</t>
        </r>
      </text>
    </comment>
    <comment ref="AK25" authorId="0" shapeId="0" xr:uid="{00000000-0006-0000-0000-00001A000000}">
      <text>
        <r>
          <rPr>
            <sz val="10"/>
            <rFont val="Arial"/>
            <family val="2"/>
          </rPr>
          <t>Fuente: Wikipedia, 2026 California gubernatorial election, tabla Polling, referencia [353]. https://en.wikipedia.org/wiki/2026_California_gubernatorial_election#Polling
Consulta: 09/10/2026.
Emerson College. Levantamiento: 2026-04-14 a 2026-04-15. Muestra: 1,000 (LV). Margen: ± 3.0%.
Becerra: 10%; Bianco: 14%; Hilton: 17%; Mahan: 5%; Porter: 10%; Steyer: 14%; Swalwell: n.d.; Thurmond: 1%; Villaraigosa: 3%; Yee: 1%. Otros: 1; Indecisos: 23. Los guiones o datos ausentes se conservan como n.d.; no son ceros.</t>
        </r>
      </text>
    </comment>
    <comment ref="AL25" authorId="0" shapeId="0" xr:uid="{00000000-0006-0000-0000-00001B000000}">
      <text>
        <r>
          <rPr>
            <sz val="10"/>
            <rFont val="Arial"/>
            <family val="2"/>
          </rPr>
          <t>Fuente: Wikipedia, 2026 California gubernatorial election, tabla Polling, referencia [354]. https://en.wikipedia.org/wiki/2026_California_gubernatorial_election#Polling
Consulta: 09/10/2026.
Impact Research (D). Levantamiento: 2026-04-08 a 2026-04-12. Muestra: 900 (LV). Margen: ± 3.3%.
Becerra: 7%; Bianco: 10%; Hilton: 25%; Mahan: 8%; Porter: 14%; Steyer: 16%; Swalwell: n.d.; Thurmond: n.d.; Villaraigosa: n.d.; Yee: n.d.. Otros: 5; Indecisos: 9. Los guiones o datos ausentes se conservan como n.d.; no son ceros.</t>
        </r>
      </text>
    </comment>
    <comment ref="AM25" authorId="0" shapeId="0" xr:uid="{00000000-0006-0000-0000-00001C000000}">
      <text>
        <r>
          <rPr>
            <sz val="10"/>
            <rFont val="Arial"/>
            <family val="2"/>
          </rPr>
          <t>Fuente: Wikipedia, 2026 California gubernatorial election, tabla Polling, referencia [355]. https://en.wikipedia.org/wiki/2026_California_gubernatorial_election#Polling
Consulta: 09/10/2026.
SurveyUSA. Levantamiento: 2026-04-08 a 2026-04-10. Muestra: 788 (LV). Margen: ± 5.2%.
Becerra: 4%; Bianco: 8%; Hilton: 18%; Mahan: 4%; Porter: 8%; Steyer: 21%; Swalwell: 9%; Thurmond: 1%; Villaraigosa: 5%; Yee: 4%. Otros: 0; Indecisos: 18. Los guiones o datos ausentes se conservan como n.d.; no son ceros.</t>
        </r>
      </text>
    </comment>
    <comment ref="AN25" authorId="0" shapeId="0" xr:uid="{00000000-0006-0000-0000-00001D000000}">
      <text>
        <r>
          <rPr>
            <sz val="10"/>
            <rFont val="Arial"/>
            <family val="2"/>
          </rPr>
          <t>Fuente: Wikipedia, 2026 California gubernatorial election, tabla Polling, referencia [356]. https://en.wikipedia.org/wiki/2026_California_gubernatorial_election#Polling
Consulta: 09/10/2026.
David Binder Research (D). Levantamiento: 2026-04-01 a 2026-04-06. Muestra: 800 (LV). Margen: ± 3.5%.
Becerra: 4%; Bianco: 13%; Hilton: 22%; Mahan: 5%; Porter: 11%; Steyer: 12%; Swalwell: 18%; Thurmond: 2%; Villaraigosa: 2%; Yee: 2%. Otros: n.d.; Indecisos: 10. Los guiones o datos ausentes se conservan como n.d.; no son ceros.</t>
        </r>
      </text>
    </comment>
    <comment ref="AO25" authorId="0" shapeId="0" xr:uid="{00000000-0006-0000-0000-00001E000000}">
      <text>
        <r>
          <rPr>
            <sz val="10"/>
            <rFont val="Arial"/>
            <family val="2"/>
          </rPr>
          <t>Fuente: Wikipedia, 2026 California gubernatorial election, tabla Polling, referencia [357]. https://en.wikipedia.org/wiki/2026_California_gubernatorial_election#Polling
Consulta: 09/10/2026.
Evitarus (D). Levantamiento: 2026-03-31 a 2026-04-05. Muestra: 1,200 (LV). Margen: ± 2.8%.
Becerra: 4%; Bianco: 14%; Hilton: 14%; Mahan: 4%; Porter: 7%; Steyer: 11%; Swalwell: 12%; Thurmond: &lt;1%; Villaraigosa: 4%; Yee: 1%. Otros: 4; Indecisos: 24. Los guiones o datos ausentes se conservan como n.d.; no son ceros.
Empate entre Bianco, Hilton.</t>
        </r>
      </text>
    </comment>
    <comment ref="AP25" authorId="0" shapeId="0" xr:uid="{00000000-0006-0000-0000-00001F000000}">
      <text>
        <r>
          <rPr>
            <sz val="10"/>
            <rFont val="Arial"/>
            <family val="2"/>
          </rPr>
          <t>Fuente: Wikipedia, 2026 California gubernatorial election, tabla Polling, referencia [359]. https://en.wikipedia.org/wiki/2026_California_gubernatorial_election#Polling
Consulta: 09/10/2026.
Kreate Strategies. Levantamiento: 2026-03-23 a 2026-03-29. Muestra: 700 (LV). Margen: ± 3.7%.
Becerra: 2%; Bianco: 10%; Hilton: 19%; Mahan: 4%; Porter: 8%; Steyer: 13%; Swalwell: 13%; Thurmond: n.d.; Villaraigosa: 2%; Yee: 3%. Otros: 6; Indecisos: 20. Los guiones o datos ausentes se conservan como n.d.; no son ceros.</t>
        </r>
      </text>
    </comment>
    <comment ref="AQ25" authorId="0" shapeId="0" xr:uid="{00000000-0006-0000-0000-000020000000}">
      <text>
        <r>
          <rPr>
            <sz val="10"/>
            <rFont val="Arial"/>
            <family val="2"/>
          </rPr>
          <t>Fuente: Wikipedia, 2026 California gubernatorial election, tabla Polling, referencia [360]. https://en.wikipedia.org/wiki/2026_California_gubernatorial_election#Polling
Consulta: 09/10/2026.
Echelon Insights (R). Levantamiento: 2026-03-12 a 2026-03-17. Muestra: 600 (LV). Margen: ± 4.1%.
Wikipedia agrupa Otros/Indecisos: 16%. No hay desglose de indecisos.
Becerra: 3%; Bianco: 14%; Hilton: 20%; Mahan: 4%; Porter: 10%; Steyer: 13%; Swalwell: 15%; Thurmond: 1%; Villaraigosa: 3%; Yee: 2%. Otros: 16; Indecisos: n.d.. Los guiones o datos ausentes se conservan como n.d.; no son ceros.</t>
        </r>
      </text>
    </comment>
    <comment ref="AR25" authorId="0" shapeId="0" xr:uid="{00000000-0006-0000-0000-000021000000}">
      <text>
        <r>
          <rPr>
            <sz val="10"/>
            <rFont val="Arial"/>
            <family val="2"/>
          </rPr>
          <t>Fuente: Wikipedia, 2026 California gubernatorial election, tabla Polling, referencia [361]. https://en.wikipedia.org/wiki/2026_California_gubernatorial_election#Polling
Consulta: 09/10/2026.
Evitarus (D). Levantamiento: 2026-03-12 a 2026-03-17. Muestra: 2,000 (LV). Margen: ± 2.2%.
Becerra: 3%; Bianco: 14%; Hilton: 16%; Mahan: 3%; Porter: 10%; Steyer: 10%; Swalwell: 10%; Thurmond: 1%; Villaraigosa: 3%; Yee: 2%. Otros: 5; Indecisos: 24. Los guiones o datos ausentes se conservan como n.d.; no son ceros.</t>
        </r>
      </text>
    </comment>
    <comment ref="AS25" authorId="0" shapeId="0" xr:uid="{00000000-0006-0000-0000-000022000000}">
      <text>
        <r>
          <rPr>
            <sz val="10"/>
            <rFont val="Arial"/>
            <family val="2"/>
          </rPr>
          <t>Fuente: Wikipedia, 2026 California gubernatorial election, tabla Polling, referencia [362]. https://en.wikipedia.org/wiki/2026_California_gubernatorial_election#Polling
Consulta: 09/10/2026.
Berkeley IGS. Levantamiento: 2026-03-09 a 2026-03-14. Muestra: 3,889 (LV). Margen: ± 2.5%.
Wikipedia agrupa Otros/Indecisos: 16%. No hay desglose de indecisos.
Becerra: 5%; Bianco: 16%; Hilton: 17%; Mahan: 4%; Porter: 13%; Steyer: 10%; Swalwell: 13%; Thurmond: 1%; Villaraigosa: 4%; Yee: 1%. Otros: 16; Indecisos: n.d.. Los guiones o datos ausentes se conservan como n.d.; no son ceros.</t>
        </r>
      </text>
    </comment>
    <comment ref="AT25" authorId="0" shapeId="0" xr:uid="{00000000-0006-0000-0000-000023000000}">
      <text>
        <r>
          <rPr>
            <sz val="10"/>
            <rFont val="Arial"/>
            <family val="2"/>
          </rPr>
          <t>Fuente: Wikipedia, 2026 California gubernatorial election, tabla Polling, referencia [363]. https://en.wikipedia.org/wiki/2026_California_gubernatorial_election#Polling
Consulta: 09/10/2026.
Emerson College. Levantamiento: 2026-03-07 a 2026-03-09. Muestra: 1,000 (LV). Margen: ± 3.0%.
Becerra: 3%; Bianco: 11%; Hilton: 13%; Mahan: 3%; Porter: 8%; Steyer: 11%; Swalwell: 17%; Thurmond: 1%; Villaraigosa: 3%; Yee: 2%. Otros: 1; Indecisos: 25. Los guiones o datos ausentes se conservan como n.d.; no son ceros.</t>
        </r>
      </text>
    </comment>
    <comment ref="AU25" authorId="0" shapeId="0" xr:uid="{00000000-0006-0000-0000-000024000000}">
      <text>
        <r>
          <rPr>
            <sz val="10"/>
            <rFont val="Arial"/>
            <family val="2"/>
          </rPr>
          <t>Fuente: Wikipedia, 2026 California gubernatorial election, tabla Polling, referencia [364]. https://en.wikipedia.org/wiki/2026_California_gubernatorial_election#Polling
Consulta: 09/10/2026.
Politico / UC Berkeley / TrueDot. Levantamiento: 2026-02-25 a 2026-03-03. Muestra: 1,004 (LV). Margen: ± 3.3%.
Becerra: 5%; Bianco: 11%; Hilton: 19%; Mahan: 3%; Porter: 11%; Steyer: 13%; Swalwell: 11%; Thurmond: 1%; Villaraigosa: 4%; Yee: 2%. Otros: 3; Indecisos: 17. Los guiones o datos ausentes se conservan como n.d.; no son ceros.</t>
        </r>
      </text>
    </comment>
    <comment ref="AV25" authorId="0" shapeId="0" xr:uid="{00000000-0006-0000-0000-000025000000}">
      <text>
        <r>
          <rPr>
            <sz val="10"/>
            <rFont val="Arial"/>
            <family val="2"/>
          </rPr>
          <t>Fuente: Wikipedia, 2026 California gubernatorial election, tabla Polling, referencia [365]. https://en.wikipedia.org/wiki/2026_California_gubernatorial_election#Polling
Consulta: 09/10/2026.
Global Strategy Group (D). Levantamiento: 2026-02-27 a 2026-03-02. Muestra: 1,340 (LV). Margen: ± 3.5%.
Becerra: 5%; Bianco: 15%; Hilton: 20%; Mahan: 3%; Porter: 13%; Steyer: 16%; Swalwell: 11%; Thurmond: n.d.; Villaraigosa: 2%; Yee: n.d.. Otros: n.d.; Indecisos: 15. Los guiones o datos ausentes se conservan como n.d.; no son ceros.</t>
        </r>
      </text>
    </comment>
    <comment ref="AW25" authorId="0" shapeId="0" xr:uid="{00000000-0006-0000-0000-000026000000}">
      <text>
        <r>
          <rPr>
            <sz val="10"/>
            <rFont val="Arial"/>
            <family val="2"/>
          </rPr>
          <t>Fuente: Wikipedia, 2026 California gubernatorial election, tabla Polling, referencia [366]. https://en.wikipedia.org/wiki/2026_California_gubernatorial_election#Polling
Consulta: 09/10/2026.
Independent Voter Project. Levantamiento: 2026-02-13 a 2026-02-20. Muestra: 868 (LV). Margen: ± 3.6%.
Becerra: 3%; Bianco: 23%; Hilton: 15%; Mahan: 2%; Porter: 12%; Steyer: 8%; Swalwell: 18%; Thurmond: 1%; Villaraigosa: 3%; Yee: 2%. Otros: 0; Indecisos: 13. Los guiones o datos ausentes se conservan como n.d.; no son ceros.</t>
        </r>
      </text>
    </comment>
    <comment ref="AX25" authorId="0" shapeId="0" xr:uid="{00000000-0006-0000-0000-000027000000}">
      <text>
        <r>
          <rPr>
            <sz val="10"/>
            <rFont val="Arial"/>
            <family val="2"/>
          </rPr>
          <t>Fuente: Wikipedia, 2026 California gubernatorial election, tabla Polling, referencia [367]. https://en.wikipedia.org/wiki/2026_California_gubernatorial_election#Polling
Consulta: 09/10/2026.
Emerson College. Levantamiento: 2026-02-13 a 2026-02-14. Muestra: 1,000 (LV). Margen: ± 3.0%.
Becerra: 4%; Bianco: 14%; Hilton: 17%; Mahan: 3%; Porter: 10%; Steyer: 9%; Swalwell: 14%; Thurmond: 2%; Villaraigosa: 3%; Yee: 2%. Otros: 2; Indecisos: 21. Los guiones o datos ausentes se conservan como n.d.; no son ceros.</t>
        </r>
      </text>
    </comment>
    <comment ref="AY25" authorId="0" shapeId="0" xr:uid="{00000000-0006-0000-0000-000028000000}">
      <text>
        <r>
          <rPr>
            <sz val="10"/>
            <rFont val="Arial"/>
            <family val="2"/>
          </rPr>
          <t>Fuente: Wikipedia, 2026 California gubernatorial election, tabla Polling, referencia [369]. https://en.wikipedia.org/wiki/2026_California_gubernatorial_election#Polling
Consulta: 09/10/2026.
Tavern Research (D). Levantamiento: 2026-02-02 a 2026-02-05. Muestra: 1,097 (LV). Margen: ± 3.3%.
Becerra: 6%; Bianco: 20%; Hilton: 12%; Mahan: 2%; Porter: 9%; Steyer: 9%; Swalwell: 10%; Thurmond: n.d.; Villaraigosa: 3%; Yee: n.d.. Otros: 4; Indecisos: 25. Los guiones o datos ausentes se conservan como n.d.; no son ceros.</t>
        </r>
      </text>
    </comment>
    <comment ref="AZ25" authorId="0" shapeId="0" xr:uid="{00000000-0006-0000-0000-000029000000}">
      <text>
        <r>
          <rPr>
            <sz val="10"/>
            <rFont val="Arial"/>
            <family val="2"/>
          </rPr>
          <t>Fuente: Wikipedia, 2026 California gubernatorial election, tabla Polling, referencia [370]. https://en.wikipedia.org/wiki/2026_California_gubernatorial_election#Polling
Consulta: 09/10/2026.
EMC Research (D). Levantamiento: 2026-01-29 a 2026-02-04. Muestra: 1,400 (V). Margen: —.
Becerra: 6%; Bianco: 21%; Hilton: 17%; Mahan: 5%; Porter: 12%; Steyer: 9%; Swalwell: 18%; Thurmond: 1%; Villaraigosa: 3%; Yee: 2%. Otros: 2; Indecisos: 4. Los guiones o datos ausentes se conservan como n.d.; no son ceros.</t>
        </r>
      </text>
    </comment>
    <comment ref="BA25" authorId="0" shapeId="0" xr:uid="{00000000-0006-0000-0000-00002A000000}">
      <text>
        <r>
          <rPr>
            <sz val="10"/>
            <rFont val="Arial"/>
            <family val="2"/>
          </rPr>
          <t>Fuente: Wikipedia, 2026 California gubernatorial election, tabla Polling, referencia [365]. https://en.wikipedia.org/wiki/2026_California_gubernatorial_election#Polling
Consulta: 09/10/2026.
Global Strategy Group (D). Levantamiento: 2026-01-29 a 2026-02-03. Muestra: — (LV). Margen: —.
Becerra: 4%; Bianco: 18%; Hilton: 18%; Mahan: 3%; Porter: 12%; Steyer: 10%; Swalwell: 11%; Thurmond: n.d.; Villaraigosa: 3%; Yee: n.d.. Otros: n.d.; Indecisos: 21. Los guiones o datos ausentes se conservan como n.d.; no son ceros.
Empate entre Bianco, Hilton.</t>
        </r>
      </text>
    </comment>
    <comment ref="BB25" authorId="0" shapeId="0" xr:uid="{00000000-0006-0000-0000-00002B000000}">
      <text>
        <r>
          <rPr>
            <sz val="10"/>
            <rFont val="Arial"/>
            <family val="2"/>
          </rPr>
          <t>Fuente: Wikipedia, 2026 California gubernatorial election, tabla Polling, referencia [371]. https://en.wikipedia.org/wiki/2026_California_gubernatorial_election#Polling
Consulta: 09/10/2026.
J Wallin Opinion Research. Levantamiento: 2026-01-29 a 2026-02-01. Muestra: 1,000 (RV). Margen: —.
Becerra: 6%; Bianco: 11%; Hilton: 14%; Mahan: 4%; Porter: 8%; Steyer: 12%; Swalwell: 9%; Thurmond: 3%; Villaraigosa: 7%; Yee: 4%. Otros: 7; Indecisos: 15. Los guiones o datos ausentes se conservan como n.d.; no son ceros.</t>
        </r>
      </text>
    </comment>
    <comment ref="BC25" authorId="0" shapeId="0" xr:uid="{00000000-0006-0000-0000-00002C000000}">
      <text>
        <r>
          <rPr>
            <sz val="10"/>
            <rFont val="Arial"/>
            <family val="2"/>
          </rPr>
          <t>Fuente: Wikipedia, 2026 California gubernatorial election, tabla Polling, referencia [373]. https://en.wikipedia.org/wiki/2026_California_gubernatorial_election#Polling
Consulta: 09/10/2026.
RBI Strategies &amp; Research (D). Levantamiento: 2026-01-25 a 2026-01-29. Muestra: — (LV). Margen: —.
Becerra: 4%; Bianco: 15%; Hilton: 16%; Mahan: 3%; Porter: 13%; Steyer: 8%; Swalwell: 14%; Thurmond: 2%; Villaraigosa: 3%; Yee: n.d.. Otros: n.d.; Indecisos: 23. Los guiones o datos ausentes se conservan como n.d.; no son ceros.</t>
        </r>
      </text>
    </comment>
    <comment ref="BD25" authorId="0" shapeId="0" xr:uid="{00000000-0006-0000-0000-00002D000000}">
      <text>
        <r>
          <rPr>
            <sz val="10"/>
            <rFont val="Arial"/>
            <family val="2"/>
          </rPr>
          <t>Fuente: Wikipedia, 2026 California gubernatorial election, tabla Polling, referencia [374]. https://en.wikipedia.org/wiki/2026_California_gubernatorial_election#Polling
Consulta: 09/10/2026.
Tulchin Research (D). Levantamiento: 2026-01-22 a 2026-01-28. Muestra: 1,000 (LV). Margen: ± 3.1%.
Becerra: 5%; Bianco: 15%; Hilton: 15%; Mahan: n.d.; Porter: 13%; Steyer: 10%; Swalwell: 14%; Thurmond: 1%; Villaraigosa: 7%; Yee: 2%. Otros: 2; Indecisos: 16. Los guiones o datos ausentes se conservan como n.d.; no son ceros.
Empate entre Bianco, Hilton.</t>
        </r>
      </text>
    </comment>
    <comment ref="BE25" authorId="0" shapeId="0" xr:uid="{00000000-0006-0000-0000-00002E000000}">
      <text>
        <r>
          <rPr>
            <sz val="10"/>
            <rFont val="Arial"/>
            <family val="2"/>
          </rPr>
          <t>Fuente: Wikipedia, 2026 California gubernatorial election, tabla Polling, referencia [375]. https://en.wikipedia.org/wiki/2026_California_gubernatorial_election#Polling
Consulta: 09/10/2026.
Public Policy Polling (D). Levantamiento: 2026-01-20 a 2026-01-21. Muestra: 1,001 (V). Margen: —.
Becerra: 6%; Bianco: 18%; Hilton: 17%; Mahan: 5%; Porter: 14%; Steyer: 8%; Swalwell: 12%; Thurmond: 1%; Villaraigosa: 2%; Yee: n.d.. Otros: n.d.; Indecisos: 17. Los guiones o datos ausentes se conservan como n.d.; no son ceros.</t>
        </r>
      </text>
    </comment>
    <comment ref="BF25" authorId="0" shapeId="0" xr:uid="{00000000-0006-0000-0000-00002F000000}">
      <text>
        <r>
          <rPr>
            <sz val="10"/>
            <rFont val="Arial"/>
            <family val="2"/>
          </rPr>
          <t>Fuente: Wikipedia, 2026 California gubernatorial election, tabla Polling, referencia [376]. https://en.wikipedia.org/wiki/2026_California_gubernatorial_election#Polling
Consulta: 09/10/2026.
David Binder Research (D). Levantamiento: 2026-01-17 a 2026-01-20. Muestra: 800 (LV). Margen: ± 3.5%.
Becerra: 5%; Bianco: 17%; Hilton: 14%; Mahan: n.d.; Porter: 11%; Steyer: 8%; Swalwell: 11%; Thurmond: 2%; Villaraigosa: 3%; Yee: 1%. Otros: 3; Indecisos: 25. Los guiones o datos ausentes se conservan como n.d.; no son ceros.</t>
        </r>
      </text>
    </comment>
    <comment ref="BG25" authorId="0" shapeId="0" xr:uid="{00000000-0006-0000-0000-000030000000}">
      <text>
        <r>
          <rPr>
            <sz val="10"/>
            <rFont val="Arial"/>
            <family val="2"/>
          </rPr>
          <t>Fuente: Wikipedia, 2026 California gubernatorial election, tabla Polling, referencia [377]. https://en.wikipedia.org/wiki/2026_California_gubernatorial_election#Polling
Consulta: 09/10/2026.
CivicLens Research. Levantamiento: 2025-12-14 a 2025-12-16. Muestra: 400 (LV). Margen: ± 4.5%.
Becerra: 1%; Bianco: 14%; Hilton: 18%; Mahan: n.d.; Porter: 9%; Steyer: 7%; Swalwell: 12%; Thurmond: 3%; Villaraigosa: 2%; Yee: 2%. Otros: 3; Indecisos: 31. Los guiones o datos ausentes se conservan como n.d.; no son ceros.</t>
        </r>
      </text>
    </comment>
    <comment ref="BH25" authorId="0" shapeId="0" xr:uid="{00000000-0006-0000-0000-000031000000}">
      <text>
        <r>
          <rPr>
            <sz val="10"/>
            <rFont val="Arial"/>
            <family val="2"/>
          </rPr>
          <t>Fuente: Wikipedia, 2026 California gubernatorial election, tabla Polling, referencia [378]. https://en.wikipedia.org/wiki/2026_California_gubernatorial_election#Polling
Consulta: 09/10/2026.
FM3 Research (D). Levantamiento: 2025-11-30 a 2025-12-07. Muestra: 632 (LV). Margen: ± 4.0%.
Becerra: 3%; Bianco: 17%; Hilton: 18%; Mahan: n.d.; Porter: 13%; Steyer: 6%; Swalwell: 17%; Thurmond: 1%; Villaraigosa: 3%; Yee: 1%. Otros: n.d.; Indecisos: 20. Los guiones o datos ausentes se conservan como n.d.; no son ceros.</t>
        </r>
      </text>
    </comment>
    <comment ref="BI25" authorId="0" shapeId="0" xr:uid="{00000000-0006-0000-0000-000032000000}">
      <text>
        <r>
          <rPr>
            <sz val="10"/>
            <rFont val="Arial"/>
            <family val="2"/>
          </rPr>
          <t>Fuente: Wikipedia, 2026 California gubernatorial election, tabla Polling, referencia [380]. https://en.wikipedia.org/wiki/2026_California_gubernatorial_election#Polling
Consulta: 09/10/2026.
Emerson College. Levantamiento: 2025-12-01 a 2025-12-02. Muestra: 1,000 (LV). Margen: ± 3.0%.
Becerra: 4%; Bianco: 13%; Hilton: 12%; Mahan: n.d.; Porter: 11%; Steyer: 4%; Swalwell: 12%; Thurmond: 2%; Villaraigosa: 5%; Yee: 2%. Otros: 5; Indecisos: 31. Los guiones o datos ausentes se conservan como n.d.; no son ceros.</t>
        </r>
      </text>
    </comment>
    <comment ref="BJ25" authorId="0" shapeId="0" xr:uid="{00000000-0006-0000-0000-000033000000}">
      <text>
        <r>
          <rPr>
            <sz val="10"/>
            <rFont val="Arial"/>
            <family val="2"/>
          </rPr>
          <t>Fuente: Wikipedia, 2026 California gubernatorial election, tabla Polling, referencia [381]. https://en.wikipedia.org/wiki/2026_California_gubernatorial_election#Polling
Consulta: 09/10/2026.
Lake Research Partners (D). Levantamiento: 2025-11-17 a 2025-11-20. Muestra: 600 (LV). Margen: ± 4.0%.
Becerra: 6%; Bianco: 10%; Hilton: 17%; Mahan: n.d.; Porter: 15%; Steyer: 4%; Swalwell: 10%; Thurmond: 3%; Villaraigosa: 7%; Yee: 3%. Otros: 1; Indecisos: 22. Los guiones o datos ausentes se conservan como n.d.; no son ceros.</t>
        </r>
      </text>
    </comment>
    <comment ref="BK25" authorId="0" shapeId="0" xr:uid="{00000000-0006-0000-0000-000034000000}">
      <text>
        <r>
          <rPr>
            <sz val="10"/>
            <rFont val="Arial"/>
            <family val="2"/>
          </rPr>
          <t>Fuente: Wikipedia, 2026 California gubernatorial election, tabla Polling, referencia [383]. https://en.wikipedia.org/wiki/2026_California_gubernatorial_election#Polling
Consulta: 09/10/2026.
Tavern Research (D). Levantamiento: 2025-10-27 a 2025-10-30. Muestra: 1,001 (LV). Margen: ± 4.0%.
Becerra: 9%; Bianco: 16%; Hilton: 12%; Mahan: n.d.; Porter: 15%; Steyer: n.d.; Swalwell: n.d.; Thurmond: 2%; Villaraigosa: 5%; Yee: 3%. Otros: 9; Indecisos: 29. Los guiones o datos ausentes se conservan como n.d.; no son ceros.</t>
        </r>
      </text>
    </comment>
    <comment ref="BL25" authorId="0" shapeId="0" xr:uid="{00000000-0006-0000-0000-000035000000}">
      <text>
        <r>
          <rPr>
            <sz val="10"/>
            <rFont val="Arial"/>
            <family val="2"/>
          </rPr>
          <t>Fuente: Wikipedia, 2026 California gubernatorial election, tabla Polling, referencia [388]. https://en.wikipedia.org/wiki/2026_California_gubernatorial_election#Polling
Consulta: 09/10/2026.
Berkeley IGS. Levantamiento: 2025-10-20 a 2025-10-27. Muestra: 8,141 (RV). Margen: ± 2.0%.
Escenario hipotético con Rick Caruso: 3.0%.
Becerra: 8%; Bianco: 13%; Hilton: 8%; Mahan: n.d.; Porter: 11%; Steyer: n.d.; Swalwell: n.d.; Thurmond: n.d.; Villaraigosa: 5%; Yee: 3%. Otros: 5; Indecisos: 44. Los guiones o datos ausentes se conservan como n.d.; no son ceros.</t>
        </r>
      </text>
    </comment>
    <comment ref="BM25" authorId="0" shapeId="0" xr:uid="{00000000-0006-0000-0000-000036000000}">
      <text>
        <r>
          <rPr>
            <sz val="10"/>
            <rFont val="Arial"/>
            <family val="2"/>
          </rPr>
          <t>Fuente: Wikipedia, 2026 California gubernatorial election, tabla Polling, referencia [384]. https://en.wikipedia.org/wiki/2026_California_gubernatorial_election#Polling
Consulta: 09/10/2026.
EMC Research (D). Levantamiento: 2025-10-22 a 2025-10-26. Muestra: 1,000 (LV). Margen: ± 3.1%.
Wikipedia muestra 16% en Otros; no publica cifra de indecisos.
Becerra: 9%; Bianco: 14%; Hilton: 20%; Mahan: n.d.; Porter: 16%; Steyer: 3%; Swalwell: 11%; Thurmond: 3%; Villaraigosa: 5%; Yee: 3%. Otros: 16; Indecisos: n.d.. Los guiones o datos ausentes se conservan como n.d.; no son ceros.</t>
        </r>
      </text>
    </comment>
    <comment ref="BN25" authorId="0" shapeId="0" xr:uid="{00000000-0006-0000-0000-000037000000}">
      <text>
        <r>
          <rPr>
            <sz val="10"/>
            <rFont val="Arial"/>
            <family val="2"/>
          </rPr>
          <t>Fuente: Wikipedia, 2026 California gubernatorial election, tabla Polling, referencia [385]. https://en.wikipedia.org/wiki/2026_California_gubernatorial_election#Polling
Consulta: 09/10/2026.
Emerson College. Levantamiento: 2025-10-20 a 2025-10-21. Muestra: 900 (LV). Margen: ± 3.19%.
Becerra: 5%; Bianco: 11%; Hilton: 16%; Mahan: n.d.; Porter: 15%; Steyer: n.d.; Swalwell: n.d.; Thurmond: 3%; Villaraigosa: 5%; Yee: 2%. Otros: 4; Indecisos: 39. Los guiones o datos ausentes se conservan como n.d.; no son ceros.</t>
        </r>
      </text>
    </comment>
    <comment ref="BO25" authorId="0" shapeId="0" xr:uid="{00000000-0006-0000-0000-000038000000}">
      <text>
        <r>
          <rPr>
            <sz val="10"/>
            <rFont val="Arial"/>
            <family val="2"/>
          </rPr>
          <t>Fuente: Wikipedia, 2026 California gubernatorial election, tabla Polling, referencia [386]. https://en.wikipedia.org/wiki/2026_California_gubernatorial_election#Polling
Consulta: 09/10/2026.
Bold Decision. Levantamiento: 2025-10-16 a 2025-10-21. Muestra: 509 (LV). Margen: ± 4.3%.
Becerra: 8%; Bianco: 14%; Hilton: 13%; Mahan: n.d.; Porter: 12%; Steyer: 7%; Swalwell: n.d.; Thurmond: 1%; Villaraigosa: 7%; Yee: 4%. Otros: 4; Indecisos: 29. Los guiones o datos ausentes se conservan como n.d.; no son ceros.</t>
        </r>
      </text>
    </comment>
    <comment ref="BP25" authorId="0" shapeId="0" xr:uid="{00000000-0006-0000-0000-000039000000}">
      <text>
        <r>
          <rPr>
            <sz val="10"/>
            <rFont val="Arial"/>
            <family val="2"/>
          </rPr>
          <t>Fuente: Wikipedia, 2026 California gubernatorial election, tabla Polling, referencia [389]. https://en.wikipedia.org/wiki/2026_California_gubernatorial_election#Polling
Consulta: 09/10/2026.
Emerson College. Levantamiento: 2025-09-15 a 2025-09-16. Muestra: 1,000 (RV). Margen: ± 3%.
Escenario hipotético con Rick Caruso: 4.0%.
Becerra: 5%; Bianco: 8%; Hilton: 10%; Mahan: n.d.; Porter: 16%; Steyer: n.d.; Swalwell: n.d.; Thurmond: n.d.; Villaraigosa: 4%; Yee: 3%. Otros: 10; Indecisos: 38. Los guiones o datos ausentes se conservan como n.d.; no son ceros.</t>
        </r>
      </text>
    </comment>
    <comment ref="BQ25" authorId="0" shapeId="0" xr:uid="{00000000-0006-0000-0000-00003A000000}">
      <text>
        <r>
          <rPr>
            <sz val="10"/>
            <rFont val="Arial"/>
            <family val="2"/>
          </rPr>
          <t>Fuente: Wikipedia, 2026 California gubernatorial election, tabla Polling, referencia [391]. https://en.wikipedia.org/wiki/2026_California_gubernatorial_election#Polling
Consulta: 09/10/2026.
TrueDot / Politico. Levantamiento: 2025-07-28 a 2025-08-12. Muestra: 875 (RV). Margen: ± 2.6%.
Escenario hipotético con Rick Caruso: 6.0%.
Becerra: 9%; Bianco: 15%; Hilton: 10%; Mahan: n.d.; Porter: 21%; Steyer: n.d.; Swalwell: n.d.; Thurmond: n.d.; Villaraigosa: 9%; Yee: 6%. Otros: 15; Indecisos: 9. Los guiones o datos ausentes se conservan como n.d.; no son ceros.</t>
        </r>
      </text>
    </comment>
    <comment ref="BR25" authorId="0" shapeId="0" xr:uid="{00000000-0006-0000-0000-00003B000000}">
      <text>
        <r>
          <rPr>
            <sz val="10"/>
            <rFont val="Arial"/>
            <family val="2"/>
          </rPr>
          <t>Fuente: Wikipedia, 2026 California gubernatorial election, tabla Polling, referencia [387]. https://en.wikipedia.org/wiki/2026_California_gubernatorial_election#Polling
Consulta: 09/10/2026.
Emerson College. Levantamiento: 2025-04-12 a 2025-04-14. Muestra: 899 (LV). Margen: ± 3.2%.
Becerra: 3%; Bianco: 4%; Hilton: n.d.; Mahan: n.d.; Porter: 12%; Steyer: n.d.; Swalwell: n.d.; Thurmond: 2%; Villaraigosa: 5%; Yee: 3%. Otros: 17; Indecisos: 54. Los guiones o datos ausentes se conservan como n.d.; no son ceros.</t>
        </r>
      </text>
    </comment>
    <comment ref="BS25" authorId="0" shapeId="0" xr:uid="{00000000-0006-0000-0000-00003C000000}">
      <text>
        <r>
          <rPr>
            <sz val="10"/>
            <rFont val="Arial"/>
            <family val="2"/>
          </rPr>
          <t>Fuente: Wikipedia, 2026 California gubernatorial election, tabla Polling, referencia [397]. https://en.wikipedia.org/wiki/2026_California_gubernatorial_election#Polling
Consulta: 09/10/2026.
Emerson College. Levantamiento: 2025-02-10 a 2025-02-11. Muestra: 469 (RV). Margen: ±4.5%.
Escenario hipotético únicamente demócrata, sin Harris; no es la primaria abierta de todos los partidos. Otros candidatos: Toni Atkins 3%, Stephen Cloobeck 3%, Eleni Kounalakis 5%. Otros 9%.
Becerra: n.d.; Bianco: n.d.; Hilton: n.d.; Mahan: n.d.; Porter: 21%; Steyer: n.d.; Swalwell: n.d.; Thurmond: 3%; Villaraigosa: 9%; Yee: 3%. Otros: 9; Indecisos: 45. Los guiones o datos ausentes se conservan como n.d.; no son ceros.</t>
        </r>
      </text>
    </comment>
    <comment ref="BT25" authorId="0" shapeId="0" xr:uid="{00000000-0006-0000-0000-00003D000000}">
      <text>
        <r>
          <rPr>
            <sz val="10"/>
            <rFont val="Arial"/>
            <family val="2"/>
          </rPr>
          <t>Fuente: Wikipedia, 2026 California gubernatorial election, tabla Polling, referencia [393]. https://en.wikipedia.org/wiki/2026_California_gubernatorial_election#Polling
Consulta: 09/10/2026.
Capitol Weekly. Levantamiento: 2025-02-03 a 2025-02-07. Muestra: 1,073 (RV). Margen: n.d..
Escenario hipotético sin Harris. Otros candidatos: Toni Atkins 3%, Rob Bonta 9%, Lanhee Chen 9%, John Cox 21%, Eleni Kounalakis 5%. Otros 12%.
Becerra: 5%; Bianco: n.d.; Hilton: n.d.; Mahan: n.d.; Porter: 26%; Steyer: n.d.; Swalwell: n.d.; Thurmond: 2%; Villaraigosa: 3%; Yee: 3%. Otros: 12; Indecisos: n.d.. Los guiones o datos ausentes se conservan como n.d.; no son ceros.</t>
        </r>
      </text>
    </comment>
  </commentList>
</comments>
</file>

<file path=xl/sharedStrings.xml><?xml version="1.0" encoding="utf-8"?>
<sst xmlns="http://schemas.openxmlformats.org/spreadsheetml/2006/main" count="663" uniqueCount="258">
  <si>
    <t>2026 California Gubernatorial Election — Polls: Xavier Becerra vs. Steve Hilton</t>
  </si>
  <si>
    <t>Encuestas Individuales - Individual Surveys</t>
  </si>
  <si>
    <t>n.d.= dato no disponible</t>
  </si>
  <si>
    <t>Encuestadora</t>
  </si>
  <si>
    <t>David Wolfson — encargada por la campaña de Hilton</t>
  </si>
  <si>
    <t>Independent Voter News (IVN)</t>
  </si>
  <si>
    <t>LA Times/Berkeley IGS</t>
  </si>
  <si>
    <t>SurveyUSA — para KGTV-TV</t>
  </si>
  <si>
    <t>Politico/Citrin Center</t>
  </si>
  <si>
    <t>PPIC</t>
  </si>
  <si>
    <t>Kreate Strategies</t>
  </si>
  <si>
    <t>CEPP</t>
  </si>
  <si>
    <t>Emerson / Nexstar
(primaria)</t>
  </si>
  <si>
    <t>PPIC
(primaria)</t>
  </si>
  <si>
    <t>Berkeley IGS
(primaria)</t>
  </si>
  <si>
    <t>Emerson
(primaria)</t>
  </si>
  <si>
    <t>SurveyUSA
(primaria)</t>
  </si>
  <si>
    <t>PPP (D)
(primaria)</t>
  </si>
  <si>
    <t>McLaughlin (R)
(primaria)</t>
  </si>
  <si>
    <t>David Binder (D)
(primaria)</t>
  </si>
  <si>
    <t>Kreate Strategies
(primaria)</t>
  </si>
  <si>
    <t>CEPP
(primaria)</t>
  </si>
  <si>
    <t>GSG (D)
(primaria)</t>
  </si>
  <si>
    <t>Echelon Insights (R)
(primaria)</t>
  </si>
  <si>
    <t>Evitarus (D)
(primaria)</t>
  </si>
  <si>
    <t>Mellman Group (D)
(primaria)</t>
  </si>
  <si>
    <t>Impact Research (D)
(primaria)</t>
  </si>
  <si>
    <t>Gudelunas
(primaria)</t>
  </si>
  <si>
    <t>CBS News/YouGov
(primaria)</t>
  </si>
  <si>
    <t>EMC Research (D)
(primaria)</t>
  </si>
  <si>
    <t>IVP
(primaria)</t>
  </si>
  <si>
    <t>Politico/Berkeley
(primaria)</t>
  </si>
  <si>
    <t>Tavern Research (D)
(primaria)</t>
  </si>
  <si>
    <t>J. Wallin
(primaria)</t>
  </si>
  <si>
    <t>RBI (D)
(primaria)</t>
  </si>
  <si>
    <t>Tulchin Research (D)
(primaria)</t>
  </si>
  <si>
    <t>CivicLens
(primaria)</t>
  </si>
  <si>
    <t>FM3 Research (D)
(primaria)</t>
  </si>
  <si>
    <t>Lake Research (D)
(primaria)</t>
  </si>
  <si>
    <t>Berkeley IGS
con Caruso
(primaria)</t>
  </si>
  <si>
    <t>Bold Decision
(primaria)</t>
  </si>
  <si>
    <t>Emerson
con Caruso
(primaria)</t>
  </si>
  <si>
    <t>TrueDot / Politico
con Caruso
(primaria)</t>
  </si>
  <si>
    <t>Emerson
dem. s/Harris
(primaria)</t>
  </si>
  <si>
    <t>Capitol Weekly
sin Harris
(primaria)</t>
  </si>
  <si>
    <t>PROME
(promedio de todas)</t>
  </si>
  <si>
    <t>Survey dates (2025–2026)</t>
  </si>
  <si>
    <t>Oct 1–2</t>
  </si>
  <si>
    <t>hasta Oct 4</t>
  </si>
  <si>
    <t>Sep 15–20</t>
  </si>
  <si>
    <t>Sep 12–17</t>
  </si>
  <si>
    <t>Sep 4–10</t>
  </si>
  <si>
    <t>Aug 14–16</t>
  </si>
  <si>
    <t>Aug 3–9</t>
  </si>
  <si>
    <t>Jun 29–Jul 6</t>
  </si>
  <si>
    <t>hasta Jun 17</t>
  </si>
  <si>
    <t>May 23–26</t>
  </si>
  <si>
    <t>May 19–24</t>
  </si>
  <si>
    <t>27–28 may 2026</t>
  </si>
  <si>
    <t>14–18 may 2026</t>
  </si>
  <si>
    <t>09–10 may 2026</t>
  </si>
  <si>
    <t>26 mar–03 abr 2026</t>
  </si>
  <si>
    <t>03–11 feb 2026</t>
  </si>
  <si>
    <t>13–19 nov 2025</t>
  </si>
  <si>
    <t>11–17 ago 2025</t>
  </si>
  <si>
    <t>04–05 ago 2025</t>
  </si>
  <si>
    <t>28–31 may 2026</t>
  </si>
  <si>
    <t>26–28 may 2026</t>
  </si>
  <si>
    <t>26–27 may 2026</t>
  </si>
  <si>
    <t>23–27 may 2026</t>
  </si>
  <si>
    <t>23–26 may 2026</t>
  </si>
  <si>
    <t>19–24 may 2026</t>
  </si>
  <si>
    <t>18–21 may 2026</t>
  </si>
  <si>
    <t>14–16 may 2026</t>
  </si>
  <si>
    <t>05–11 may 2026</t>
  </si>
  <si>
    <t>05–09 may 2026</t>
  </si>
  <si>
    <t>03–06 may 2026</t>
  </si>
  <si>
    <t>28 abr–03 may 2026</t>
  </si>
  <si>
    <t>30 abr–02 may 2026</t>
  </si>
  <si>
    <t>28 abr–01 may 2026</t>
  </si>
  <si>
    <t>23–27 abr 2026</t>
  </si>
  <si>
    <t>21–26 abr 2026</t>
  </si>
  <si>
    <t>14–20 abr 2026</t>
  </si>
  <si>
    <t>14–18 abr 2026</t>
  </si>
  <si>
    <t>12–18 abr 2026</t>
  </si>
  <si>
    <t>15–17 abr 2026</t>
  </si>
  <si>
    <t>14–15 abr 2026</t>
  </si>
  <si>
    <t>08–12 abr 2026</t>
  </si>
  <si>
    <t>08–10 abr 2026</t>
  </si>
  <si>
    <t>01–06 abr 2026</t>
  </si>
  <si>
    <t>31 mar–05 abr 2026</t>
  </si>
  <si>
    <t>23–29 mar 2026</t>
  </si>
  <si>
    <t>12–17 mar 2026</t>
  </si>
  <si>
    <t>09–14 mar 2026</t>
  </si>
  <si>
    <t>07–09 mar 2026</t>
  </si>
  <si>
    <t>25 feb–03 mar 2026</t>
  </si>
  <si>
    <t>27 feb–02 mar 2026</t>
  </si>
  <si>
    <t>13–20 feb 2026</t>
  </si>
  <si>
    <t>13–14 feb 2026</t>
  </si>
  <si>
    <t>02–05 feb 2026</t>
  </si>
  <si>
    <t>29 ene–04 feb 2026</t>
  </si>
  <si>
    <t>29 ene–03 feb 2026</t>
  </si>
  <si>
    <t>29 ene–01 feb 2026</t>
  </si>
  <si>
    <t>25–29 ene 2026</t>
  </si>
  <si>
    <t>22–28 ene 2026</t>
  </si>
  <si>
    <t>20–21 ene 2026</t>
  </si>
  <si>
    <t>17–20 ene 2026</t>
  </si>
  <si>
    <t>14–16 dic 2025</t>
  </si>
  <si>
    <t>30 nov–07 dic 2025</t>
  </si>
  <si>
    <t>01–02 dic 2025</t>
  </si>
  <si>
    <t>17–20 nov 2025</t>
  </si>
  <si>
    <t>27–30 oct 2025</t>
  </si>
  <si>
    <t>20–27 oct 2025</t>
  </si>
  <si>
    <t>22–26 oct 2025</t>
  </si>
  <si>
    <t>20–21 oct 2025</t>
  </si>
  <si>
    <t>16–21 oct 2025</t>
  </si>
  <si>
    <t>15–16 sep 2025</t>
  </si>
  <si>
    <t>28 jul–12 ago 2025</t>
  </si>
  <si>
    <t>12–14 abr 2025</t>
  </si>
  <si>
    <t>10–11 feb 2025</t>
  </si>
  <si>
    <t>03–07 feb 2025</t>
  </si>
  <si>
    <t>Xavier Becerra (Demócrata)</t>
  </si>
  <si>
    <t>n.d.</t>
  </si>
  <si>
    <t>Steve Hilton (Republicano)</t>
  </si>
  <si>
    <t>Indecisos / Otros</t>
  </si>
  <si>
    <t>Total (debe dar ~100)</t>
  </si>
  <si>
    <t>Who's in the lead?</t>
  </si>
  <si>
    <t>Becerra 28%</t>
  </si>
  <si>
    <t>Becerra 23%</t>
  </si>
  <si>
    <t>Becerra 19%</t>
  </si>
  <si>
    <t>Swalwell 18%</t>
  </si>
  <si>
    <t>Hilton 14%</t>
  </si>
  <si>
    <t>Porter 21%</t>
  </si>
  <si>
    <t>Porter 17%</t>
  </si>
  <si>
    <t>Porter 18%</t>
  </si>
  <si>
    <t>Empate 20%</t>
  </si>
  <si>
    <t>Steyer 21%</t>
  </si>
  <si>
    <t>Empate 25%</t>
  </si>
  <si>
    <t>Hilton 27%</t>
  </si>
  <si>
    <t>Becerra 27%</t>
  </si>
  <si>
    <t>Becerra 29%</t>
  </si>
  <si>
    <t>Becerra 25%</t>
  </si>
  <si>
    <t>Hilton 22%</t>
  </si>
  <si>
    <t>Hilton 25%</t>
  </si>
  <si>
    <t>Hilton 23%</t>
  </si>
  <si>
    <t>Empate 23%</t>
  </si>
  <si>
    <t>Empate 18%</t>
  </si>
  <si>
    <t>Hilton 20%</t>
  </si>
  <si>
    <t>Becerra 24%</t>
  </si>
  <si>
    <t>Hilton 16%</t>
  </si>
  <si>
    <t>Becerra 21%</t>
  </si>
  <si>
    <t>Hilton 18%</t>
  </si>
  <si>
    <t>Hilton 17%</t>
  </si>
  <si>
    <t>Empate 14%</t>
  </si>
  <si>
    <t>Hilton 19%</t>
  </si>
  <si>
    <t>Swalwell 17%</t>
  </si>
  <si>
    <t>Bianco 23%</t>
  </si>
  <si>
    <t>Bianco 20%</t>
  </si>
  <si>
    <t>Bianco 21%</t>
  </si>
  <si>
    <t>Empate 15%</t>
  </si>
  <si>
    <t>Bianco 18%</t>
  </si>
  <si>
    <t>Bianco 17%</t>
  </si>
  <si>
    <t>Bianco 13%</t>
  </si>
  <si>
    <t>Bianco 16%</t>
  </si>
  <si>
    <t>Bianco 14%</t>
  </si>
  <si>
    <t>Porter 16%</t>
  </si>
  <si>
    <t>Porter 12%</t>
  </si>
  <si>
    <t>Porter 26%</t>
  </si>
  <si>
    <t>Aggregators (sites that average many polls)</t>
  </si>
  <si>
    <t>Agregador</t>
  </si>
  <si>
    <t>270toWin</t>
  </si>
  <si>
    <t>FiftyPlusOne</t>
  </si>
  <si>
    <t>RealClearPolitics</t>
  </si>
  <si>
    <t>Period covered (2026)</t>
  </si>
  <si>
    <t>Sep 15–Oct 4</t>
  </si>
  <si>
    <t>until Oct 2</t>
  </si>
  <si>
    <t>Sep 4–20</t>
  </si>
  <si>
    <t>3 agregadores</t>
  </si>
  <si>
    <t>Total (should be ~100)</t>
  </si>
  <si>
    <t>Primarias</t>
  </si>
  <si>
    <t>Encuestas de primarias — intención de voto (%)</t>
  </si>
  <si>
    <t>Primaria abierta 'top-two' (todos los partidos juntos) — 2 de junio de 2026</t>
  </si>
  <si>
    <t>Candidato</t>
  </si>
  <si>
    <t>Partido</t>
  </si>
  <si>
    <t>Votos</t>
  </si>
  <si>
    <t>% del voto</t>
  </si>
  <si>
    <t>Result</t>
  </si>
  <si>
    <t>Emerson / Nexstar</t>
  </si>
  <si>
    <t>Berkeley IGS</t>
  </si>
  <si>
    <t>Emerson</t>
  </si>
  <si>
    <t>SurveyUSA</t>
  </si>
  <si>
    <t>PPP (D)</t>
  </si>
  <si>
    <t>McLaughlin (R)</t>
  </si>
  <si>
    <t>David Binder (D)</t>
  </si>
  <si>
    <t>GSG (D)</t>
  </si>
  <si>
    <t>Echelon Insights (R)</t>
  </si>
  <si>
    <t>Evitarus (D)</t>
  </si>
  <si>
    <t>Mellman Group (D)</t>
  </si>
  <si>
    <t>Impact Research (D)</t>
  </si>
  <si>
    <t>Gudelunas</t>
  </si>
  <si>
    <t>CBS News/YouGov</t>
  </si>
  <si>
    <t>EMC Research (D)</t>
  </si>
  <si>
    <t>IVP</t>
  </si>
  <si>
    <t>Politico/Berkeley</t>
  </si>
  <si>
    <t>Tavern Research (D)</t>
  </si>
  <si>
    <t>J. Wallin</t>
  </si>
  <si>
    <t>RBI (D)</t>
  </si>
  <si>
    <t>Tulchin Research (D)</t>
  </si>
  <si>
    <t>CivicLens</t>
  </si>
  <si>
    <t>FM3 Research (D)</t>
  </si>
  <si>
    <t>Lake Research (D)</t>
  </si>
  <si>
    <t>Berkeley IGS
con Caruso</t>
  </si>
  <si>
    <t>Bold Decision</t>
  </si>
  <si>
    <t>Emerson
con Caruso</t>
  </si>
  <si>
    <t>TrueDot / Politico
con Caruso</t>
  </si>
  <si>
    <t>Emerson
dem. s/Harris</t>
  </si>
  <si>
    <t>Capitol Weekly
sin Harris</t>
  </si>
  <si>
    <t>Xavier Becerra</t>
  </si>
  <si>
    <t>Demócrata</t>
  </si>
  <si>
    <t>1er lugar: pasa a noviembre</t>
  </si>
  <si>
    <t>Steve Hilton</t>
  </si>
  <si>
    <t>Republicano</t>
  </si>
  <si>
    <t>2º lugar: pasa a noviembre</t>
  </si>
  <si>
    <t>Tom Steyer</t>
  </si>
  <si>
    <t>Chad Bianco</t>
  </si>
  <si>
    <t>Katie Porter</t>
  </si>
  <si>
    <t>&lt;10%</t>
  </si>
  <si>
    <t>Matt Mahan</t>
  </si>
  <si>
    <t>Eric Swalwell</t>
  </si>
  <si>
    <t>&lt;1%</t>
  </si>
  <si>
    <t>Antonio Villaraigosa</t>
  </si>
  <si>
    <t>Betty Yee</t>
  </si>
  <si>
    <t>Tony Thurmond</t>
  </si>
  <si>
    <t>Indecisos</t>
  </si>
  <si>
    <t>—</t>
  </si>
  <si>
    <t>CALIFORNIA | Mercados de predicción y apuestas</t>
  </si>
  <si>
    <t>Fecha de referencia</t>
  </si>
  <si>
    <t>Mercado</t>
  </si>
  <si>
    <t>Probabilidad implícita</t>
  </si>
  <si>
    <t>Kalshi</t>
  </si>
  <si>
    <t>Polymarket</t>
  </si>
  <si>
    <t>Inicio de levantamiento</t>
  </si>
  <si>
    <t>Fin de levantamiento</t>
  </si>
  <si>
    <t>Población / fuente</t>
  </si>
  <si>
    <t>Registrados activos</t>
  </si>
  <si>
    <t>Registrados; 1ª opción</t>
  </si>
  <si>
    <t>Votantes probables</t>
  </si>
  <si>
    <t>Probables de primaria</t>
  </si>
  <si>
    <t>Xavier Becerra (D)</t>
  </si>
  <si>
    <t>Steve Hilton (R)</t>
  </si>
  <si>
    <t>Katie Porter (D)</t>
  </si>
  <si>
    <t>Chad Bianco (R)</t>
  </si>
  <si>
    <t>Tom Steyer (D)</t>
  </si>
  <si>
    <t>Eric Swalwell (D)</t>
  </si>
  <si>
    <t>Antonio Villaraigosa (D)</t>
  </si>
  <si>
    <t>Betty Yee (D)</t>
  </si>
  <si>
    <t>Matt Mahan (D)</t>
  </si>
  <si>
    <t>Tony Thurmond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</si>
</sst>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m/d/yyyy"/>
  </numFmts>
  <fonts count="2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1F2A44"/>
      <name val="Arial"/>
      <family val="2"/>
      <charset val="1"/>
    </font>
    <font>
      <sz val="10"/>
      <color rgb="FF1F2A44"/>
      <name val="Arial"/>
      <family val="2"/>
      <charset val="1"/>
    </font>
    <font>
      <sz val="9"/>
      <color rgb="FF555555"/>
      <name val="Arial"/>
      <family val="2"/>
      <charset val="1"/>
    </font>
    <font>
      <b/>
      <sz val="10"/>
      <color rgb="FF1F5FBF"/>
      <name val="Arial"/>
      <family val="2"/>
      <charset val="1"/>
    </font>
    <font>
      <b/>
      <sz val="11"/>
      <color rgb="FF1F5FBF"/>
      <name val="Arial"/>
      <family val="2"/>
      <charset val="1"/>
    </font>
    <font>
      <b/>
      <sz val="10"/>
      <color rgb="FFC0392B"/>
      <name val="Arial"/>
      <family val="2"/>
      <charset val="1"/>
    </font>
    <font>
      <b/>
      <sz val="11"/>
      <color rgb="FFC0392B"/>
      <name val="Arial"/>
      <family val="2"/>
      <charset val="1"/>
    </font>
    <font>
      <b/>
      <sz val="11"/>
      <color rgb="FF1F2A44"/>
      <name val="Arial"/>
      <family val="2"/>
      <charset val="1"/>
    </font>
    <font>
      <sz val="9"/>
      <color rgb="FF667085"/>
      <name val="Arial"/>
      <family val="2"/>
      <charset val="1"/>
    </font>
    <font>
      <b/>
      <sz val="10"/>
      <name val="Arial"/>
      <family val="2"/>
      <charset val="1"/>
    </font>
    <font>
      <sz val="10"/>
      <color rgb="FF475569"/>
      <name val="Calibri"/>
      <family val="2"/>
      <charset val="1"/>
    </font>
    <font>
      <b/>
      <sz val="13"/>
      <color rgb="FF1F2A44"/>
      <name val="Arial"/>
      <family val="2"/>
      <charset val="1"/>
    </font>
    <font>
      <sz val="10"/>
      <color rgb="FF1F5FBF"/>
      <name val="Arial"/>
      <family val="2"/>
      <charset val="1"/>
    </font>
    <font>
      <sz val="10"/>
      <color rgb="FFC0392B"/>
      <name val="Arial"/>
      <family val="2"/>
      <charset val="1"/>
    </font>
    <font>
      <sz val="10"/>
      <name val="Arial"/>
      <family val="2"/>
    </font>
    <font>
      <b/>
      <sz val="13"/>
      <color rgb="FFFFFFFF"/>
      <name val="Aptos"/>
      <family val="2"/>
      <charset val="1"/>
    </font>
    <font>
      <b/>
      <sz val="11"/>
      <color rgb="FFFFFFFF"/>
      <name val="Aptos"/>
      <family val="2"/>
      <charset val="1"/>
    </font>
    <font>
      <sz val="11"/>
      <color theme="1"/>
      <name val="Aptos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2A44"/>
        <bgColor rgb="FF142D4E"/>
      </patternFill>
    </fill>
    <fill>
      <patternFill patternType="solid">
        <fgColor rgb="FFF4B942"/>
        <bgColor rgb="FFFF9900"/>
      </patternFill>
    </fill>
    <fill>
      <patternFill patternType="solid">
        <fgColor rgb="FFF2F4F7"/>
        <bgColor rgb="FFE7EFFC"/>
      </patternFill>
    </fill>
    <fill>
      <patternFill patternType="solid">
        <fgColor rgb="FFFFF4D6"/>
        <bgColor rgb="FFFCE8E6"/>
      </patternFill>
    </fill>
    <fill>
      <patternFill patternType="solid">
        <fgColor rgb="FFDCE8FA"/>
        <bgColor rgb="FFDCE3ED"/>
      </patternFill>
    </fill>
    <fill>
      <patternFill patternType="solid">
        <fgColor rgb="FFFADBD8"/>
        <bgColor rgb="FFFCE8E6"/>
      </patternFill>
    </fill>
    <fill>
      <patternFill patternType="solid">
        <fgColor rgb="FF142D4E"/>
        <bgColor rgb="FF1F2A44"/>
      </patternFill>
    </fill>
    <fill>
      <patternFill patternType="solid">
        <fgColor rgb="FFE7EFFC"/>
        <bgColor rgb="FFF2F4F7"/>
      </patternFill>
    </fill>
    <fill>
      <patternFill patternType="solid">
        <fgColor rgb="FFFCE8E6"/>
        <bgColor rgb="FFFFF4D6"/>
      </patternFill>
    </fill>
  </fills>
  <borders count="1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F4B942"/>
      </bottom>
      <diagonal/>
    </border>
    <border>
      <left/>
      <right style="thin">
        <color rgb="FFDCE3ED"/>
      </right>
      <top/>
      <bottom style="thin">
        <color rgb="FFDCE3ED"/>
      </bottom>
      <diagonal/>
    </border>
    <border>
      <left style="thin">
        <color rgb="FFDCE3ED"/>
      </left>
      <right style="thin">
        <color rgb="FFDCE3ED"/>
      </right>
      <top/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 style="thin">
        <color rgb="FFDCE3ED"/>
      </bottom>
      <diagonal/>
    </border>
    <border>
      <left style="thin">
        <color rgb="FFDCE3ED"/>
      </left>
      <right style="thin">
        <color rgb="FFDCE3ED"/>
      </right>
      <top style="thin">
        <color rgb="FFDCE3ED"/>
      </top>
      <bottom style="thin">
        <color rgb="FFDCE3ED"/>
      </bottom>
      <diagonal/>
    </border>
    <border>
      <left/>
      <right style="thin">
        <color rgb="FFDCE3ED"/>
      </right>
      <top style="thin">
        <color rgb="FFDCE3ED"/>
      </top>
      <bottom/>
      <diagonal/>
    </border>
    <border>
      <left style="thin">
        <color rgb="FFDCE3ED"/>
      </left>
      <right style="thin">
        <color rgb="FFDCE3ED"/>
      </right>
      <top style="thin">
        <color rgb="FFDCE3ED"/>
      </top>
      <bottom/>
      <diagonal/>
    </border>
    <border>
      <left style="thin">
        <color rgb="FFDCE3ED"/>
      </left>
      <right/>
      <top/>
      <bottom style="thin">
        <color rgb="FFDCE3ED"/>
      </bottom>
      <diagonal/>
    </border>
    <border>
      <left style="thin">
        <color rgb="FFDCE3ED"/>
      </left>
      <right/>
      <top style="thin">
        <color rgb="FFDCE3ED"/>
      </top>
      <bottom style="thin">
        <color rgb="FFDCE3ED"/>
      </bottom>
      <diagonal/>
    </border>
    <border>
      <left style="thin">
        <color rgb="FFDCE3ED"/>
      </left>
      <right/>
      <top style="thin">
        <color rgb="FFDCE3ED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0" fillId="8" borderId="0" xfId="0" applyFont="1" applyFill="1" applyAlignment="1">
      <alignment vertical="center" wrapText="1"/>
    </xf>
    <xf numFmtId="0" fontId="16" fillId="0" borderId="2" xfId="0" applyFont="1" applyBorder="1"/>
    <xf numFmtId="0" fontId="15" fillId="0" borderId="0" xfId="0" applyFont="1" applyAlignment="1">
      <alignment wrapText="1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9" fillId="5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164" fontId="12" fillId="5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64" fontId="13" fillId="5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6" fillId="0" borderId="2" xfId="0" applyFont="1" applyBorder="1"/>
    <xf numFmtId="0" fontId="0" fillId="0" borderId="2" xfId="0" applyBorder="1"/>
    <xf numFmtId="164" fontId="13" fillId="4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3" fontId="5" fillId="6" borderId="1" xfId="0" applyNumberFormat="1" applyFont="1" applyFill="1" applyBorder="1" applyAlignment="1">
      <alignment horizontal="center" vertical="center" wrapText="1"/>
    </xf>
    <xf numFmtId="165" fontId="5" fillId="6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9" fontId="5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165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1" fillId="8" borderId="3" xfId="0" applyFont="1" applyFill="1" applyBorder="1" applyAlignment="1">
      <alignment vertical="center" wrapText="1"/>
    </xf>
    <xf numFmtId="0" fontId="21" fillId="8" borderId="4" xfId="0" applyFont="1" applyFill="1" applyBorder="1" applyAlignment="1">
      <alignment vertical="center" wrapText="1"/>
    </xf>
    <xf numFmtId="166" fontId="22" fillId="9" borderId="5" xfId="0" applyNumberFormat="1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vertical="center" wrapText="1"/>
    </xf>
    <xf numFmtId="165" fontId="22" fillId="9" borderId="6" xfId="0" applyNumberFormat="1" applyFont="1" applyFill="1" applyBorder="1" applyAlignment="1">
      <alignment horizontal="center" vertical="center" wrapText="1"/>
    </xf>
    <xf numFmtId="166" fontId="22" fillId="10" borderId="5" xfId="0" applyNumberFormat="1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vertical="center" wrapText="1"/>
    </xf>
    <xf numFmtId="165" fontId="22" fillId="10" borderId="6" xfId="0" applyNumberFormat="1" applyFont="1" applyFill="1" applyBorder="1" applyAlignment="1">
      <alignment horizontal="center" vertical="center" wrapText="1"/>
    </xf>
    <xf numFmtId="166" fontId="22" fillId="10" borderId="7" xfId="0" applyNumberFormat="1" applyFont="1" applyFill="1" applyBorder="1" applyAlignment="1">
      <alignment horizontal="center" vertical="center" wrapText="1"/>
    </xf>
    <xf numFmtId="0" fontId="22" fillId="10" borderId="8" xfId="0" applyFont="1" applyFill="1" applyBorder="1" applyAlignment="1">
      <alignment vertical="center" wrapText="1"/>
    </xf>
    <xf numFmtId="165" fontId="22" fillId="10" borderId="8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1" fillId="8" borderId="9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166" fontId="22" fillId="0" borderId="6" xfId="0" applyNumberFormat="1" applyFont="1" applyBorder="1" applyAlignment="1">
      <alignment vertical="center" wrapText="1"/>
    </xf>
    <xf numFmtId="166" fontId="22" fillId="0" borderId="10" xfId="0" applyNumberFormat="1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2" fillId="0" borderId="10" xfId="0" applyFont="1" applyBorder="1" applyAlignment="1">
      <alignment vertical="center" wrapText="1"/>
    </xf>
    <xf numFmtId="0" fontId="22" fillId="9" borderId="5" xfId="0" applyFont="1" applyFill="1" applyBorder="1" applyAlignment="1">
      <alignment vertical="center" wrapText="1"/>
    </xf>
    <xf numFmtId="9" fontId="22" fillId="9" borderId="6" xfId="0" applyNumberFormat="1" applyFont="1" applyFill="1" applyBorder="1" applyAlignment="1">
      <alignment horizontal="right" vertical="center" wrapText="1"/>
    </xf>
    <xf numFmtId="9" fontId="22" fillId="9" borderId="10" xfId="0" applyNumberFormat="1" applyFont="1" applyFill="1" applyBorder="1" applyAlignment="1">
      <alignment horizontal="right" vertical="center" wrapText="1"/>
    </xf>
    <xf numFmtId="0" fontId="22" fillId="10" borderId="5" xfId="0" applyFont="1" applyFill="1" applyBorder="1" applyAlignment="1">
      <alignment vertical="center" wrapText="1"/>
    </xf>
    <xf numFmtId="9" fontId="22" fillId="10" borderId="6" xfId="0" applyNumberFormat="1" applyFont="1" applyFill="1" applyBorder="1" applyAlignment="1">
      <alignment horizontal="right" vertical="center" wrapText="1"/>
    </xf>
    <xf numFmtId="9" fontId="22" fillId="10" borderId="10" xfId="0" applyNumberFormat="1" applyFont="1" applyFill="1" applyBorder="1" applyAlignment="1">
      <alignment horizontal="right" vertical="center" wrapText="1"/>
    </xf>
    <xf numFmtId="0" fontId="22" fillId="0" borderId="7" xfId="0" applyFont="1" applyBorder="1" applyAlignment="1">
      <alignment vertical="center" wrapText="1"/>
    </xf>
    <xf numFmtId="9" fontId="22" fillId="0" borderId="8" xfId="0" applyNumberFormat="1" applyFont="1" applyBorder="1" applyAlignment="1">
      <alignment horizontal="right" vertical="center" wrapText="1"/>
    </xf>
    <xf numFmtId="9" fontId="22" fillId="0" borderId="1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12"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  <dxf>
      <font>
        <color rgb="FFFFFFFF"/>
      </font>
      <fill>
        <patternFill>
          <bgColor rgb="FFEF4444"/>
        </patternFill>
      </fill>
    </dxf>
    <dxf>
      <font>
        <color rgb="FFFFFFFF"/>
      </font>
      <fill>
        <patternFill>
          <bgColor rgb="FF2563EB"/>
        </patternFill>
      </fill>
    </dxf>
    <dxf>
      <font>
        <color rgb="FFC0392B"/>
      </font>
    </dxf>
    <dxf>
      <font>
        <color rgb="FF1F5FBF"/>
      </font>
    </dxf>
    <dxf>
      <font>
        <color rgb="FFFFFFFF"/>
      </font>
      <fill>
        <patternFill>
          <bgColor rgb="FFC0392B"/>
        </patternFill>
      </fill>
    </dxf>
    <dxf>
      <font>
        <color rgb="FFFFFFFF"/>
      </font>
      <fill>
        <patternFill>
          <bgColor rgb="FF1F5FBF"/>
        </patternFill>
      </fill>
    </dxf>
    <dxf>
      <font>
        <b/>
        <color rgb="FFC0392B"/>
      </font>
    </dxf>
    <dxf>
      <font>
        <b/>
        <color rgb="FF1F5FBF"/>
      </font>
    </dxf>
    <dxf>
      <font>
        <b/>
        <color rgb="FFFFFFFF"/>
      </font>
      <fill>
        <patternFill>
          <bgColor rgb="FFC0392B"/>
        </patternFill>
      </fill>
    </dxf>
    <dxf>
      <font>
        <b/>
        <color rgb="FFFFFFFF"/>
      </font>
      <fill>
        <patternFill>
          <bgColor rgb="FF1F5FB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2F4F7"/>
      <rgbColor rgb="FF808080"/>
      <rgbColor rgb="FF9999FF"/>
      <rgbColor rgb="FF993366"/>
      <rgbColor rgb="FFFFF4D6"/>
      <rgbColor rgb="FFE7EFFC"/>
      <rgbColor rgb="FF660066"/>
      <rgbColor rgb="FFFF8080"/>
      <rgbColor rgb="FF1F5FBF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A"/>
      <rgbColor rgb="FFDCE3ED"/>
      <rgbColor rgb="FFFCE8E6"/>
      <rgbColor rgb="FF99CCFF"/>
      <rgbColor rgb="FFFF99CC"/>
      <rgbColor rgb="FFCC99FF"/>
      <rgbColor rgb="FFFADBD8"/>
      <rgbColor rgb="FF2563EB"/>
      <rgbColor rgb="FF33CCCC"/>
      <rgbColor rgb="FF99CC00"/>
      <rgbColor rgb="FFF4B942"/>
      <rgbColor rgb="FFFF9900"/>
      <rgbColor rgb="FFEF4444"/>
      <rgbColor rgb="FF667085"/>
      <rgbColor rgb="FF969696"/>
      <rgbColor rgb="FF142D4E"/>
      <rgbColor rgb="FF339966"/>
      <rgbColor rgb="FF003300"/>
      <rgbColor rgb="FF555555"/>
      <rgbColor rgb="FFC0392B"/>
      <rgbColor rgb="FF993366"/>
      <rgbColor rgb="FF47556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8"/>
  <sheetViews>
    <sheetView showGridLines="0" tabSelected="1" zoomScaleNormal="100" workbookViewId="0">
      <pane xSplit="1" topLeftCell="B1" activePane="topRight" state="frozen"/>
      <selection pane="topRight" activeCell="A5" sqref="A5"/>
    </sheetView>
  </sheetViews>
  <sheetFormatPr baseColWidth="10" defaultColWidth="8.7109375" defaultRowHeight="15" x14ac:dyDescent="0.25"/>
  <cols>
    <col min="1" max="1" width="42.28515625" customWidth="1"/>
    <col min="2" max="80" width="15" customWidth="1"/>
    <col min="81" max="81" width="13" customWidth="1"/>
  </cols>
  <sheetData>
    <row r="1" spans="1:81" ht="31.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81" ht="19.5" customHeigh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6"/>
      <c r="N2" s="6"/>
      <c r="T2" t="s">
        <v>2</v>
      </c>
    </row>
    <row r="3" spans="1:81" ht="54" customHeight="1" x14ac:dyDescent="0.25">
      <c r="A3" s="7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8" t="s">
        <v>4</v>
      </c>
      <c r="I3" s="8" t="s">
        <v>6</v>
      </c>
      <c r="J3" s="8" t="s">
        <v>9</v>
      </c>
      <c r="K3" s="8" t="s">
        <v>10</v>
      </c>
      <c r="L3" s="8" t="s">
        <v>11</v>
      </c>
      <c r="M3" s="8" t="s">
        <v>6</v>
      </c>
      <c r="N3" s="8" t="s">
        <v>12</v>
      </c>
      <c r="O3" s="8" t="s">
        <v>13</v>
      </c>
      <c r="P3" s="8" t="s">
        <v>12</v>
      </c>
      <c r="Q3" s="8" t="s">
        <v>13</v>
      </c>
      <c r="R3" s="8" t="s">
        <v>13</v>
      </c>
      <c r="S3" s="8" t="s">
        <v>13</v>
      </c>
      <c r="T3" s="8" t="s">
        <v>14</v>
      </c>
      <c r="U3" s="8" t="s">
        <v>15</v>
      </c>
      <c r="V3" s="8" t="s">
        <v>16</v>
      </c>
      <c r="W3" s="8" t="s">
        <v>17</v>
      </c>
      <c r="X3" s="8" t="s">
        <v>18</v>
      </c>
      <c r="Y3" s="8" t="s">
        <v>19</v>
      </c>
      <c r="Z3" s="8" t="s">
        <v>20</v>
      </c>
      <c r="AA3" s="8" t="s">
        <v>21</v>
      </c>
      <c r="AB3" s="8" t="s">
        <v>14</v>
      </c>
      <c r="AC3" s="8" t="s">
        <v>22</v>
      </c>
      <c r="AD3" s="8" t="s">
        <v>23</v>
      </c>
      <c r="AE3" s="8" t="s">
        <v>24</v>
      </c>
      <c r="AF3" s="8" t="s">
        <v>19</v>
      </c>
      <c r="AG3" s="8" t="s">
        <v>20</v>
      </c>
      <c r="AH3" s="8" t="s">
        <v>25</v>
      </c>
      <c r="AI3" s="8" t="s">
        <v>26</v>
      </c>
      <c r="AJ3" s="8" t="s">
        <v>24</v>
      </c>
      <c r="AK3" s="8" t="s">
        <v>16</v>
      </c>
      <c r="AL3" s="8" t="s">
        <v>27</v>
      </c>
      <c r="AM3" s="8" t="s">
        <v>28</v>
      </c>
      <c r="AN3" s="8" t="s">
        <v>29</v>
      </c>
      <c r="AO3" s="8" t="s">
        <v>30</v>
      </c>
      <c r="AP3" s="8" t="s">
        <v>27</v>
      </c>
      <c r="AQ3" s="8" t="s">
        <v>20</v>
      </c>
      <c r="AR3" s="8" t="s">
        <v>24</v>
      </c>
      <c r="AS3" s="8" t="s">
        <v>15</v>
      </c>
      <c r="AT3" s="8" t="s">
        <v>26</v>
      </c>
      <c r="AU3" s="8" t="s">
        <v>16</v>
      </c>
      <c r="AV3" s="8" t="s">
        <v>19</v>
      </c>
      <c r="AW3" s="8" t="s">
        <v>24</v>
      </c>
      <c r="AX3" s="8" t="s">
        <v>20</v>
      </c>
      <c r="AY3" s="8" t="s">
        <v>23</v>
      </c>
      <c r="AZ3" s="8" t="s">
        <v>24</v>
      </c>
      <c r="BA3" s="8" t="s">
        <v>14</v>
      </c>
      <c r="BB3" s="8" t="s">
        <v>15</v>
      </c>
      <c r="BC3" s="8" t="s">
        <v>31</v>
      </c>
      <c r="BD3" s="8" t="s">
        <v>22</v>
      </c>
      <c r="BE3" s="8" t="s">
        <v>30</v>
      </c>
      <c r="BF3" s="8" t="s">
        <v>15</v>
      </c>
      <c r="BG3" s="8" t="s">
        <v>32</v>
      </c>
      <c r="BH3" s="8" t="s">
        <v>29</v>
      </c>
      <c r="BI3" s="8" t="s">
        <v>22</v>
      </c>
      <c r="BJ3" s="8" t="s">
        <v>33</v>
      </c>
      <c r="BK3" s="8" t="s">
        <v>34</v>
      </c>
      <c r="BL3" s="8" t="s">
        <v>35</v>
      </c>
      <c r="BM3" s="8" t="s">
        <v>17</v>
      </c>
      <c r="BN3" s="8" t="s">
        <v>19</v>
      </c>
      <c r="BO3" s="8" t="s">
        <v>36</v>
      </c>
      <c r="BP3" s="8" t="s">
        <v>37</v>
      </c>
      <c r="BQ3" s="8" t="s">
        <v>15</v>
      </c>
      <c r="BR3" s="8" t="s">
        <v>38</v>
      </c>
      <c r="BS3" s="8" t="s">
        <v>32</v>
      </c>
      <c r="BT3" s="8" t="s">
        <v>39</v>
      </c>
      <c r="BU3" s="8" t="s">
        <v>29</v>
      </c>
      <c r="BV3" s="8" t="s">
        <v>15</v>
      </c>
      <c r="BW3" s="8" t="s">
        <v>40</v>
      </c>
      <c r="BX3" s="8" t="s">
        <v>41</v>
      </c>
      <c r="BY3" s="8" t="s">
        <v>42</v>
      </c>
      <c r="BZ3" s="8" t="s">
        <v>15</v>
      </c>
      <c r="CA3" s="8" t="s">
        <v>43</v>
      </c>
      <c r="CB3" s="8" t="s">
        <v>44</v>
      </c>
      <c r="CC3" s="9" t="s">
        <v>45</v>
      </c>
    </row>
    <row r="4" spans="1:81" ht="24" customHeight="1" x14ac:dyDescent="0.25">
      <c r="A4" s="10" t="s">
        <v>46</v>
      </c>
      <c r="B4" s="11" t="s">
        <v>47</v>
      </c>
      <c r="C4" s="11" t="s">
        <v>48</v>
      </c>
      <c r="D4" s="11" t="s">
        <v>49</v>
      </c>
      <c r="E4" s="11" t="s">
        <v>49</v>
      </c>
      <c r="F4" s="11" t="s">
        <v>50</v>
      </c>
      <c r="G4" s="11" t="s">
        <v>51</v>
      </c>
      <c r="H4" s="11" t="s">
        <v>52</v>
      </c>
      <c r="I4" s="11" t="s">
        <v>53</v>
      </c>
      <c r="J4" s="11" t="s">
        <v>54</v>
      </c>
      <c r="K4" s="11" t="s">
        <v>55</v>
      </c>
      <c r="L4" s="11" t="s">
        <v>56</v>
      </c>
      <c r="M4" s="11" t="s">
        <v>57</v>
      </c>
      <c r="N4" s="11" t="s">
        <v>58</v>
      </c>
      <c r="O4" s="11" t="s">
        <v>59</v>
      </c>
      <c r="P4" s="11" t="s">
        <v>60</v>
      </c>
      <c r="Q4" s="11" t="s">
        <v>61</v>
      </c>
      <c r="R4" s="11" t="s">
        <v>62</v>
      </c>
      <c r="S4" s="11" t="s">
        <v>63</v>
      </c>
      <c r="T4" s="11" t="s">
        <v>64</v>
      </c>
      <c r="U4" s="11" t="s">
        <v>65</v>
      </c>
      <c r="V4" s="11" t="s">
        <v>66</v>
      </c>
      <c r="W4" s="11" t="s">
        <v>58</v>
      </c>
      <c r="X4" s="11" t="s">
        <v>67</v>
      </c>
      <c r="Y4" s="11" t="s">
        <v>68</v>
      </c>
      <c r="Z4" s="11" t="s">
        <v>69</v>
      </c>
      <c r="AA4" s="11" t="s">
        <v>70</v>
      </c>
      <c r="AB4" s="11" t="s">
        <v>71</v>
      </c>
      <c r="AC4" s="11" t="s">
        <v>72</v>
      </c>
      <c r="AD4" s="11" t="s">
        <v>72</v>
      </c>
      <c r="AE4" s="11" t="s">
        <v>73</v>
      </c>
      <c r="AF4" s="11" t="s">
        <v>74</v>
      </c>
      <c r="AG4" s="11" t="s">
        <v>75</v>
      </c>
      <c r="AH4" s="11" t="s">
        <v>76</v>
      </c>
      <c r="AI4" s="11" t="s">
        <v>77</v>
      </c>
      <c r="AJ4" s="11" t="s">
        <v>78</v>
      </c>
      <c r="AK4" s="11" t="s">
        <v>79</v>
      </c>
      <c r="AL4" s="11" t="s">
        <v>80</v>
      </c>
      <c r="AM4" s="11" t="s">
        <v>80</v>
      </c>
      <c r="AN4" s="11" t="s">
        <v>81</v>
      </c>
      <c r="AO4" s="11" t="s">
        <v>82</v>
      </c>
      <c r="AP4" s="11" t="s">
        <v>83</v>
      </c>
      <c r="AQ4" s="11" t="s">
        <v>84</v>
      </c>
      <c r="AR4" s="11" t="s">
        <v>85</v>
      </c>
      <c r="AS4" s="11" t="s">
        <v>86</v>
      </c>
      <c r="AT4" s="11" t="s">
        <v>87</v>
      </c>
      <c r="AU4" s="11" t="s">
        <v>88</v>
      </c>
      <c r="AV4" s="11" t="s">
        <v>89</v>
      </c>
      <c r="AW4" s="11" t="s">
        <v>90</v>
      </c>
      <c r="AX4" s="11" t="s">
        <v>91</v>
      </c>
      <c r="AY4" s="11" t="s">
        <v>92</v>
      </c>
      <c r="AZ4" s="11" t="s">
        <v>92</v>
      </c>
      <c r="BA4" s="11" t="s">
        <v>93</v>
      </c>
      <c r="BB4" s="11" t="s">
        <v>94</v>
      </c>
      <c r="BC4" s="11" t="s">
        <v>95</v>
      </c>
      <c r="BD4" s="11" t="s">
        <v>96</v>
      </c>
      <c r="BE4" s="11" t="s">
        <v>97</v>
      </c>
      <c r="BF4" s="11" t="s">
        <v>98</v>
      </c>
      <c r="BG4" s="11" t="s">
        <v>99</v>
      </c>
      <c r="BH4" s="11" t="s">
        <v>100</v>
      </c>
      <c r="BI4" s="11" t="s">
        <v>101</v>
      </c>
      <c r="BJ4" s="11" t="s">
        <v>102</v>
      </c>
      <c r="BK4" s="11" t="s">
        <v>103</v>
      </c>
      <c r="BL4" s="11" t="s">
        <v>104</v>
      </c>
      <c r="BM4" s="11" t="s">
        <v>105</v>
      </c>
      <c r="BN4" s="11" t="s">
        <v>106</v>
      </c>
      <c r="BO4" s="11" t="s">
        <v>107</v>
      </c>
      <c r="BP4" s="11" t="s">
        <v>108</v>
      </c>
      <c r="BQ4" s="11" t="s">
        <v>109</v>
      </c>
      <c r="BR4" s="11" t="s">
        <v>110</v>
      </c>
      <c r="BS4" s="11" t="s">
        <v>111</v>
      </c>
      <c r="BT4" s="11" t="s">
        <v>112</v>
      </c>
      <c r="BU4" s="11" t="s">
        <v>113</v>
      </c>
      <c r="BV4" s="11" t="s">
        <v>114</v>
      </c>
      <c r="BW4" s="11" t="s">
        <v>115</v>
      </c>
      <c r="BX4" s="11" t="s">
        <v>116</v>
      </c>
      <c r="BY4" s="11" t="s">
        <v>117</v>
      </c>
      <c r="BZ4" s="11" t="s">
        <v>118</v>
      </c>
      <c r="CA4" s="11" t="s">
        <v>119</v>
      </c>
      <c r="CB4" s="11" t="s">
        <v>120</v>
      </c>
      <c r="CC4" s="12">
        <v>12</v>
      </c>
    </row>
    <row r="5" spans="1:81" ht="15" customHeight="1" x14ac:dyDescent="0.25">
      <c r="A5" s="13" t="s">
        <v>121</v>
      </c>
      <c r="B5" s="14">
        <v>45.7</v>
      </c>
      <c r="C5" s="15">
        <v>48</v>
      </c>
      <c r="D5" s="15">
        <v>58</v>
      </c>
      <c r="E5" s="15">
        <v>55</v>
      </c>
      <c r="F5" s="15">
        <v>54</v>
      </c>
      <c r="G5" s="15">
        <v>60</v>
      </c>
      <c r="H5" s="14">
        <v>49.2</v>
      </c>
      <c r="I5" s="15">
        <v>55</v>
      </c>
      <c r="J5" s="15">
        <v>61</v>
      </c>
      <c r="K5" s="15">
        <v>58</v>
      </c>
      <c r="L5" s="15">
        <v>58</v>
      </c>
      <c r="M5" s="15">
        <v>52</v>
      </c>
      <c r="N5" s="15">
        <v>28</v>
      </c>
      <c r="O5" s="15">
        <v>23</v>
      </c>
      <c r="P5" s="15">
        <v>19</v>
      </c>
      <c r="Q5" s="15">
        <v>5</v>
      </c>
      <c r="R5" s="15">
        <v>5</v>
      </c>
      <c r="S5" s="15">
        <v>14</v>
      </c>
      <c r="T5" s="15">
        <v>9</v>
      </c>
      <c r="U5" s="15" t="s">
        <v>122</v>
      </c>
      <c r="V5" s="15">
        <v>17</v>
      </c>
      <c r="W5" s="15">
        <v>18</v>
      </c>
      <c r="X5" s="15">
        <v>19</v>
      </c>
      <c r="Y5" s="15">
        <v>26</v>
      </c>
      <c r="Z5" s="15">
        <v>27</v>
      </c>
      <c r="AA5" s="15">
        <v>29</v>
      </c>
      <c r="AB5" s="15">
        <v>25</v>
      </c>
      <c r="AC5" s="15">
        <v>19</v>
      </c>
      <c r="AD5" s="15">
        <v>15</v>
      </c>
      <c r="AE5" s="15">
        <v>21</v>
      </c>
      <c r="AF5" s="15">
        <v>22</v>
      </c>
      <c r="AG5" s="15">
        <v>20</v>
      </c>
      <c r="AH5" s="15">
        <v>20</v>
      </c>
      <c r="AI5" s="15">
        <v>23</v>
      </c>
      <c r="AJ5" s="15">
        <v>18</v>
      </c>
      <c r="AK5" s="15">
        <v>10</v>
      </c>
      <c r="AL5" s="15">
        <v>24</v>
      </c>
      <c r="AM5" s="15">
        <v>13</v>
      </c>
      <c r="AN5" s="15">
        <v>21</v>
      </c>
      <c r="AO5" s="15">
        <v>23</v>
      </c>
      <c r="AP5" s="15">
        <v>15</v>
      </c>
      <c r="AQ5" s="15">
        <v>10</v>
      </c>
      <c r="AR5" s="15">
        <v>13</v>
      </c>
      <c r="AS5" s="15">
        <v>10</v>
      </c>
      <c r="AT5" s="15">
        <v>7</v>
      </c>
      <c r="AU5" s="15">
        <v>4</v>
      </c>
      <c r="AV5" s="15">
        <v>4</v>
      </c>
      <c r="AW5" s="15">
        <v>4</v>
      </c>
      <c r="AX5" s="15">
        <v>2</v>
      </c>
      <c r="AY5" s="15">
        <v>3</v>
      </c>
      <c r="AZ5" s="15">
        <v>3</v>
      </c>
      <c r="BA5" s="15">
        <v>5</v>
      </c>
      <c r="BB5" s="15">
        <v>3</v>
      </c>
      <c r="BC5" s="15">
        <v>5</v>
      </c>
      <c r="BD5" s="15">
        <v>5</v>
      </c>
      <c r="BE5" s="15">
        <v>3</v>
      </c>
      <c r="BF5" s="15">
        <v>4</v>
      </c>
      <c r="BG5" s="15">
        <v>6</v>
      </c>
      <c r="BH5" s="15">
        <v>6</v>
      </c>
      <c r="BI5" s="15">
        <v>4</v>
      </c>
      <c r="BJ5" s="15">
        <v>6</v>
      </c>
      <c r="BK5" s="15">
        <v>4</v>
      </c>
      <c r="BL5" s="15">
        <v>5</v>
      </c>
      <c r="BM5" s="15">
        <v>6</v>
      </c>
      <c r="BN5" s="15">
        <v>5</v>
      </c>
      <c r="BO5" s="15">
        <v>1</v>
      </c>
      <c r="BP5" s="15">
        <v>3</v>
      </c>
      <c r="BQ5" s="15">
        <v>4</v>
      </c>
      <c r="BR5" s="15">
        <v>6</v>
      </c>
      <c r="BS5" s="15">
        <v>9</v>
      </c>
      <c r="BT5" s="15">
        <v>8</v>
      </c>
      <c r="BU5" s="15">
        <v>9</v>
      </c>
      <c r="BV5" s="15">
        <v>5</v>
      </c>
      <c r="BW5" s="15">
        <v>8</v>
      </c>
      <c r="BX5" s="15">
        <v>5</v>
      </c>
      <c r="BY5" s="15">
        <v>9</v>
      </c>
      <c r="BZ5" s="15">
        <v>3</v>
      </c>
      <c r="CA5" s="15" t="s">
        <v>122</v>
      </c>
      <c r="CB5" s="15">
        <v>5</v>
      </c>
      <c r="CC5" s="16">
        <f>AVERAGE(B5:M5)</f>
        <v>54.491666666666667</v>
      </c>
    </row>
    <row r="6" spans="1:81" ht="15" customHeight="1" x14ac:dyDescent="0.25">
      <c r="A6" s="17" t="s">
        <v>123</v>
      </c>
      <c r="B6" s="14">
        <v>40.1</v>
      </c>
      <c r="C6" s="15">
        <v>38</v>
      </c>
      <c r="D6" s="15">
        <v>33</v>
      </c>
      <c r="E6" s="15">
        <v>33</v>
      </c>
      <c r="F6" s="15">
        <v>36</v>
      </c>
      <c r="G6" s="15">
        <v>38</v>
      </c>
      <c r="H6" s="15">
        <v>41</v>
      </c>
      <c r="I6" s="15">
        <v>37</v>
      </c>
      <c r="J6" s="15">
        <v>36</v>
      </c>
      <c r="K6" s="15">
        <v>33</v>
      </c>
      <c r="L6" s="15">
        <v>35</v>
      </c>
      <c r="M6" s="15">
        <v>31</v>
      </c>
      <c r="N6" s="15">
        <v>21</v>
      </c>
      <c r="O6" s="15">
        <v>20</v>
      </c>
      <c r="P6" s="15">
        <v>17</v>
      </c>
      <c r="Q6" s="15">
        <v>17</v>
      </c>
      <c r="R6" s="15">
        <v>14</v>
      </c>
      <c r="S6" s="15">
        <v>14</v>
      </c>
      <c r="T6" s="15">
        <v>6</v>
      </c>
      <c r="U6" s="15">
        <v>12</v>
      </c>
      <c r="V6" s="15">
        <v>20</v>
      </c>
      <c r="W6" s="15">
        <v>20</v>
      </c>
      <c r="X6" s="15">
        <v>25</v>
      </c>
      <c r="Y6" s="15">
        <v>27</v>
      </c>
      <c r="Z6" s="15">
        <v>26</v>
      </c>
      <c r="AA6" s="15">
        <v>23</v>
      </c>
      <c r="AB6" s="15">
        <v>21</v>
      </c>
      <c r="AC6" s="15">
        <v>22</v>
      </c>
      <c r="AD6" s="15">
        <v>25</v>
      </c>
      <c r="AE6" s="15">
        <v>22</v>
      </c>
      <c r="AF6" s="15">
        <v>23</v>
      </c>
      <c r="AG6" s="15">
        <v>22</v>
      </c>
      <c r="AH6" s="15">
        <v>20</v>
      </c>
      <c r="AI6" s="15">
        <v>23</v>
      </c>
      <c r="AJ6" s="15">
        <v>18</v>
      </c>
      <c r="AK6" s="15">
        <v>20</v>
      </c>
      <c r="AL6" s="15">
        <v>23</v>
      </c>
      <c r="AM6" s="15">
        <v>16</v>
      </c>
      <c r="AN6" s="15">
        <v>20</v>
      </c>
      <c r="AO6" s="15">
        <v>20</v>
      </c>
      <c r="AP6" s="15">
        <v>20</v>
      </c>
      <c r="AQ6" s="15">
        <v>18</v>
      </c>
      <c r="AR6" s="15">
        <v>16</v>
      </c>
      <c r="AS6" s="15">
        <v>17</v>
      </c>
      <c r="AT6" s="15">
        <v>25</v>
      </c>
      <c r="AU6" s="15">
        <v>18</v>
      </c>
      <c r="AV6" s="15">
        <v>22</v>
      </c>
      <c r="AW6" s="15">
        <v>14</v>
      </c>
      <c r="AX6" s="15">
        <v>19</v>
      </c>
      <c r="AY6" s="15">
        <v>20</v>
      </c>
      <c r="AZ6" s="15">
        <v>16</v>
      </c>
      <c r="BA6" s="15">
        <v>17</v>
      </c>
      <c r="BB6" s="15">
        <v>13</v>
      </c>
      <c r="BC6" s="15">
        <v>19</v>
      </c>
      <c r="BD6" s="15">
        <v>20</v>
      </c>
      <c r="BE6" s="15">
        <v>15</v>
      </c>
      <c r="BF6" s="15">
        <v>17</v>
      </c>
      <c r="BG6" s="15">
        <v>12</v>
      </c>
      <c r="BH6" s="15">
        <v>17</v>
      </c>
      <c r="BI6" s="15">
        <v>18</v>
      </c>
      <c r="BJ6" s="15">
        <v>14</v>
      </c>
      <c r="BK6" s="15">
        <v>16</v>
      </c>
      <c r="BL6" s="15">
        <v>15</v>
      </c>
      <c r="BM6" s="15">
        <v>17</v>
      </c>
      <c r="BN6" s="15">
        <v>14</v>
      </c>
      <c r="BO6" s="15">
        <v>18</v>
      </c>
      <c r="BP6" s="15">
        <v>18</v>
      </c>
      <c r="BQ6" s="15">
        <v>12</v>
      </c>
      <c r="BR6" s="15">
        <v>17</v>
      </c>
      <c r="BS6" s="15">
        <v>12</v>
      </c>
      <c r="BT6" s="15">
        <v>8</v>
      </c>
      <c r="BU6" s="15">
        <v>20</v>
      </c>
      <c r="BV6" s="15">
        <v>16</v>
      </c>
      <c r="BW6" s="15">
        <v>13</v>
      </c>
      <c r="BX6" s="15">
        <v>10</v>
      </c>
      <c r="BY6" s="15">
        <v>10</v>
      </c>
      <c r="BZ6" s="15" t="s">
        <v>122</v>
      </c>
      <c r="CA6" s="15" t="s">
        <v>122</v>
      </c>
      <c r="CB6" s="15" t="s">
        <v>122</v>
      </c>
      <c r="CC6" s="18">
        <f>AVERAGE(B6:M6)</f>
        <v>35.925000000000004</v>
      </c>
    </row>
    <row r="7" spans="1:81" ht="15" customHeight="1" x14ac:dyDescent="0.25">
      <c r="A7" s="10" t="s">
        <v>124</v>
      </c>
      <c r="B7" s="14">
        <v>14.1</v>
      </c>
      <c r="C7" s="15">
        <v>14</v>
      </c>
      <c r="D7" s="15">
        <v>9</v>
      </c>
      <c r="E7" s="15">
        <v>12</v>
      </c>
      <c r="F7" s="15">
        <v>10</v>
      </c>
      <c r="G7" s="15">
        <v>2</v>
      </c>
      <c r="H7" s="14">
        <v>9.8000000000000007</v>
      </c>
      <c r="I7" s="15">
        <v>8</v>
      </c>
      <c r="J7" s="15">
        <v>3</v>
      </c>
      <c r="K7" s="15">
        <v>9</v>
      </c>
      <c r="L7" s="15">
        <v>7</v>
      </c>
      <c r="M7" s="15">
        <v>17</v>
      </c>
      <c r="N7" s="15">
        <f t="shared" ref="N7:T7" si="0">100-N5-N6</f>
        <v>51</v>
      </c>
      <c r="O7" s="15">
        <f t="shared" si="0"/>
        <v>57</v>
      </c>
      <c r="P7" s="15">
        <f t="shared" si="0"/>
        <v>64</v>
      </c>
      <c r="Q7" s="15">
        <f t="shared" si="0"/>
        <v>78</v>
      </c>
      <c r="R7" s="15">
        <f t="shared" si="0"/>
        <v>81</v>
      </c>
      <c r="S7" s="15">
        <f t="shared" si="0"/>
        <v>72</v>
      </c>
      <c r="T7" s="15">
        <f t="shared" si="0"/>
        <v>85</v>
      </c>
      <c r="U7" s="15" t="s">
        <v>122</v>
      </c>
      <c r="V7" s="15">
        <f t="shared" ref="V7:BA7" si="1">100-V5-V6</f>
        <v>63</v>
      </c>
      <c r="W7" s="15">
        <f t="shared" si="1"/>
        <v>62</v>
      </c>
      <c r="X7" s="15">
        <f t="shared" si="1"/>
        <v>56</v>
      </c>
      <c r="Y7" s="15">
        <f t="shared" si="1"/>
        <v>47</v>
      </c>
      <c r="Z7" s="15">
        <f t="shared" si="1"/>
        <v>47</v>
      </c>
      <c r="AA7" s="15">
        <f t="shared" si="1"/>
        <v>48</v>
      </c>
      <c r="AB7" s="15">
        <f t="shared" si="1"/>
        <v>54</v>
      </c>
      <c r="AC7" s="15">
        <f t="shared" si="1"/>
        <v>59</v>
      </c>
      <c r="AD7" s="15">
        <f t="shared" si="1"/>
        <v>60</v>
      </c>
      <c r="AE7" s="15">
        <f t="shared" si="1"/>
        <v>57</v>
      </c>
      <c r="AF7" s="15">
        <f t="shared" si="1"/>
        <v>55</v>
      </c>
      <c r="AG7" s="15">
        <f t="shared" si="1"/>
        <v>58</v>
      </c>
      <c r="AH7" s="15">
        <f t="shared" si="1"/>
        <v>60</v>
      </c>
      <c r="AI7" s="15">
        <f t="shared" si="1"/>
        <v>54</v>
      </c>
      <c r="AJ7" s="15">
        <f t="shared" si="1"/>
        <v>64</v>
      </c>
      <c r="AK7" s="15">
        <f t="shared" si="1"/>
        <v>70</v>
      </c>
      <c r="AL7" s="15">
        <f t="shared" si="1"/>
        <v>53</v>
      </c>
      <c r="AM7" s="15">
        <f t="shared" si="1"/>
        <v>71</v>
      </c>
      <c r="AN7" s="15">
        <f t="shared" si="1"/>
        <v>59</v>
      </c>
      <c r="AO7" s="15">
        <f t="shared" si="1"/>
        <v>57</v>
      </c>
      <c r="AP7" s="15">
        <f t="shared" si="1"/>
        <v>65</v>
      </c>
      <c r="AQ7" s="15">
        <f t="shared" si="1"/>
        <v>72</v>
      </c>
      <c r="AR7" s="15">
        <f t="shared" si="1"/>
        <v>71</v>
      </c>
      <c r="AS7" s="15">
        <f t="shared" si="1"/>
        <v>73</v>
      </c>
      <c r="AT7" s="15">
        <f t="shared" si="1"/>
        <v>68</v>
      </c>
      <c r="AU7" s="15">
        <f t="shared" si="1"/>
        <v>78</v>
      </c>
      <c r="AV7" s="15">
        <f t="shared" si="1"/>
        <v>74</v>
      </c>
      <c r="AW7" s="15">
        <f t="shared" si="1"/>
        <v>82</v>
      </c>
      <c r="AX7" s="15">
        <f t="shared" si="1"/>
        <v>79</v>
      </c>
      <c r="AY7" s="15">
        <f t="shared" si="1"/>
        <v>77</v>
      </c>
      <c r="AZ7" s="15">
        <f t="shared" si="1"/>
        <v>81</v>
      </c>
      <c r="BA7" s="15">
        <f t="shared" si="1"/>
        <v>78</v>
      </c>
      <c r="BB7" s="15">
        <f t="shared" ref="BB7:CG7" si="2">100-BB5-BB6</f>
        <v>84</v>
      </c>
      <c r="BC7" s="15">
        <f t="shared" si="2"/>
        <v>76</v>
      </c>
      <c r="BD7" s="15">
        <f t="shared" si="2"/>
        <v>75</v>
      </c>
      <c r="BE7" s="15">
        <f t="shared" si="2"/>
        <v>82</v>
      </c>
      <c r="BF7" s="15">
        <f t="shared" si="2"/>
        <v>79</v>
      </c>
      <c r="BG7" s="15">
        <f t="shared" si="2"/>
        <v>82</v>
      </c>
      <c r="BH7" s="15">
        <f t="shared" si="2"/>
        <v>77</v>
      </c>
      <c r="BI7" s="15">
        <f t="shared" si="2"/>
        <v>78</v>
      </c>
      <c r="BJ7" s="15">
        <f t="shared" si="2"/>
        <v>80</v>
      </c>
      <c r="BK7" s="15">
        <f t="shared" si="2"/>
        <v>80</v>
      </c>
      <c r="BL7" s="15">
        <f t="shared" si="2"/>
        <v>80</v>
      </c>
      <c r="BM7" s="15">
        <f t="shared" si="2"/>
        <v>77</v>
      </c>
      <c r="BN7" s="15">
        <f t="shared" si="2"/>
        <v>81</v>
      </c>
      <c r="BO7" s="15">
        <f t="shared" si="2"/>
        <v>81</v>
      </c>
      <c r="BP7" s="15">
        <f t="shared" si="2"/>
        <v>79</v>
      </c>
      <c r="BQ7" s="15">
        <f t="shared" si="2"/>
        <v>84</v>
      </c>
      <c r="BR7" s="15">
        <f t="shared" si="2"/>
        <v>77</v>
      </c>
      <c r="BS7" s="15">
        <f t="shared" si="2"/>
        <v>79</v>
      </c>
      <c r="BT7" s="15">
        <f t="shared" si="2"/>
        <v>84</v>
      </c>
      <c r="BU7" s="15">
        <f t="shared" si="2"/>
        <v>71</v>
      </c>
      <c r="BV7" s="15">
        <f t="shared" si="2"/>
        <v>79</v>
      </c>
      <c r="BW7" s="15">
        <f t="shared" si="2"/>
        <v>79</v>
      </c>
      <c r="BX7" s="15">
        <f t="shared" si="2"/>
        <v>85</v>
      </c>
      <c r="BY7" s="15">
        <f t="shared" si="2"/>
        <v>81</v>
      </c>
      <c r="BZ7" s="15" t="s">
        <v>122</v>
      </c>
      <c r="CA7" s="15" t="s">
        <v>122</v>
      </c>
      <c r="CB7" s="15" t="s">
        <v>122</v>
      </c>
      <c r="CC7" s="19">
        <f>100-CC5-CC6</f>
        <v>9.5833333333333286</v>
      </c>
    </row>
    <row r="8" spans="1:81" ht="15" customHeight="1" x14ac:dyDescent="0.25">
      <c r="A8" s="20" t="s">
        <v>125</v>
      </c>
      <c r="B8" s="21">
        <f t="shared" ref="B8:T8" si="3">SUM(B5:B7)</f>
        <v>99.9</v>
      </c>
      <c r="C8" s="21">
        <f t="shared" si="3"/>
        <v>100</v>
      </c>
      <c r="D8" s="21">
        <f t="shared" si="3"/>
        <v>100</v>
      </c>
      <c r="E8" s="21">
        <f t="shared" si="3"/>
        <v>100</v>
      </c>
      <c r="F8" s="21">
        <f t="shared" si="3"/>
        <v>100</v>
      </c>
      <c r="G8" s="21">
        <f t="shared" si="3"/>
        <v>100</v>
      </c>
      <c r="H8" s="21">
        <f t="shared" si="3"/>
        <v>100</v>
      </c>
      <c r="I8" s="21">
        <f t="shared" si="3"/>
        <v>100</v>
      </c>
      <c r="J8" s="21">
        <f t="shared" si="3"/>
        <v>100</v>
      </c>
      <c r="K8" s="21">
        <f t="shared" si="3"/>
        <v>100</v>
      </c>
      <c r="L8" s="21">
        <f t="shared" si="3"/>
        <v>100</v>
      </c>
      <c r="M8" s="21">
        <f t="shared" si="3"/>
        <v>100</v>
      </c>
      <c r="N8" s="21">
        <f t="shared" si="3"/>
        <v>100</v>
      </c>
      <c r="O8" s="21">
        <f t="shared" si="3"/>
        <v>100</v>
      </c>
      <c r="P8" s="21">
        <f t="shared" si="3"/>
        <v>100</v>
      </c>
      <c r="Q8" s="21">
        <f t="shared" si="3"/>
        <v>100</v>
      </c>
      <c r="R8" s="21">
        <f t="shared" si="3"/>
        <v>100</v>
      </c>
      <c r="S8" s="21">
        <f t="shared" si="3"/>
        <v>100</v>
      </c>
      <c r="T8" s="21">
        <f t="shared" si="3"/>
        <v>100</v>
      </c>
      <c r="U8" s="21" t="s">
        <v>122</v>
      </c>
      <c r="V8" s="21">
        <f t="shared" ref="V8:BA8" si="4">SUM(V5:V7)</f>
        <v>100</v>
      </c>
      <c r="W8" s="21">
        <f t="shared" si="4"/>
        <v>100</v>
      </c>
      <c r="X8" s="21">
        <f t="shared" si="4"/>
        <v>100</v>
      </c>
      <c r="Y8" s="21">
        <f t="shared" si="4"/>
        <v>100</v>
      </c>
      <c r="Z8" s="21">
        <f t="shared" si="4"/>
        <v>100</v>
      </c>
      <c r="AA8" s="21">
        <f t="shared" si="4"/>
        <v>100</v>
      </c>
      <c r="AB8" s="21">
        <f t="shared" si="4"/>
        <v>100</v>
      </c>
      <c r="AC8" s="21">
        <f t="shared" si="4"/>
        <v>100</v>
      </c>
      <c r="AD8" s="21">
        <f t="shared" si="4"/>
        <v>100</v>
      </c>
      <c r="AE8" s="21">
        <f t="shared" si="4"/>
        <v>100</v>
      </c>
      <c r="AF8" s="21">
        <f t="shared" si="4"/>
        <v>100</v>
      </c>
      <c r="AG8" s="21">
        <f t="shared" si="4"/>
        <v>100</v>
      </c>
      <c r="AH8" s="21">
        <f t="shared" si="4"/>
        <v>100</v>
      </c>
      <c r="AI8" s="21">
        <f t="shared" si="4"/>
        <v>100</v>
      </c>
      <c r="AJ8" s="21">
        <f t="shared" si="4"/>
        <v>100</v>
      </c>
      <c r="AK8" s="21">
        <f t="shared" si="4"/>
        <v>100</v>
      </c>
      <c r="AL8" s="21">
        <f t="shared" si="4"/>
        <v>100</v>
      </c>
      <c r="AM8" s="21">
        <f t="shared" si="4"/>
        <v>100</v>
      </c>
      <c r="AN8" s="21">
        <f t="shared" si="4"/>
        <v>100</v>
      </c>
      <c r="AO8" s="21">
        <f t="shared" si="4"/>
        <v>100</v>
      </c>
      <c r="AP8" s="21">
        <f t="shared" si="4"/>
        <v>100</v>
      </c>
      <c r="AQ8" s="21">
        <f t="shared" si="4"/>
        <v>100</v>
      </c>
      <c r="AR8" s="21">
        <f t="shared" si="4"/>
        <v>100</v>
      </c>
      <c r="AS8" s="21">
        <f t="shared" si="4"/>
        <v>100</v>
      </c>
      <c r="AT8" s="21">
        <f t="shared" si="4"/>
        <v>100</v>
      </c>
      <c r="AU8" s="21">
        <f t="shared" si="4"/>
        <v>100</v>
      </c>
      <c r="AV8" s="21">
        <f t="shared" si="4"/>
        <v>100</v>
      </c>
      <c r="AW8" s="21">
        <f t="shared" si="4"/>
        <v>100</v>
      </c>
      <c r="AX8" s="21">
        <f t="shared" si="4"/>
        <v>100</v>
      </c>
      <c r="AY8" s="21">
        <f t="shared" si="4"/>
        <v>100</v>
      </c>
      <c r="AZ8" s="21">
        <f t="shared" si="4"/>
        <v>100</v>
      </c>
      <c r="BA8" s="21">
        <f t="shared" si="4"/>
        <v>100</v>
      </c>
      <c r="BB8" s="21">
        <f t="shared" ref="BB8:CG8" si="5">SUM(BB5:BB7)</f>
        <v>100</v>
      </c>
      <c r="BC8" s="21">
        <f t="shared" si="5"/>
        <v>100</v>
      </c>
      <c r="BD8" s="21">
        <f t="shared" si="5"/>
        <v>100</v>
      </c>
      <c r="BE8" s="21">
        <f t="shared" si="5"/>
        <v>100</v>
      </c>
      <c r="BF8" s="21">
        <f t="shared" si="5"/>
        <v>100</v>
      </c>
      <c r="BG8" s="21">
        <f t="shared" si="5"/>
        <v>100</v>
      </c>
      <c r="BH8" s="21">
        <f t="shared" si="5"/>
        <v>100</v>
      </c>
      <c r="BI8" s="21">
        <f t="shared" si="5"/>
        <v>100</v>
      </c>
      <c r="BJ8" s="21">
        <f t="shared" si="5"/>
        <v>100</v>
      </c>
      <c r="BK8" s="21">
        <f t="shared" si="5"/>
        <v>100</v>
      </c>
      <c r="BL8" s="21">
        <f t="shared" si="5"/>
        <v>100</v>
      </c>
      <c r="BM8" s="21">
        <f t="shared" si="5"/>
        <v>100</v>
      </c>
      <c r="BN8" s="21">
        <f t="shared" si="5"/>
        <v>100</v>
      </c>
      <c r="BO8" s="21">
        <f t="shared" si="5"/>
        <v>100</v>
      </c>
      <c r="BP8" s="21">
        <f t="shared" si="5"/>
        <v>100</v>
      </c>
      <c r="BQ8" s="21">
        <f t="shared" si="5"/>
        <v>100</v>
      </c>
      <c r="BR8" s="21">
        <f t="shared" si="5"/>
        <v>100</v>
      </c>
      <c r="BS8" s="21">
        <f t="shared" si="5"/>
        <v>100</v>
      </c>
      <c r="BT8" s="21">
        <f t="shared" si="5"/>
        <v>100</v>
      </c>
      <c r="BU8" s="21">
        <f t="shared" si="5"/>
        <v>100</v>
      </c>
      <c r="BV8" s="21">
        <f t="shared" si="5"/>
        <v>100</v>
      </c>
      <c r="BW8" s="21">
        <f t="shared" si="5"/>
        <v>100</v>
      </c>
      <c r="BX8" s="21">
        <f t="shared" si="5"/>
        <v>100</v>
      </c>
      <c r="BY8" s="21">
        <f t="shared" si="5"/>
        <v>100</v>
      </c>
      <c r="BZ8" s="21" t="s">
        <v>122</v>
      </c>
      <c r="CA8" s="21" t="s">
        <v>122</v>
      </c>
      <c r="CB8" s="21" t="s">
        <v>122</v>
      </c>
      <c r="CC8" s="22">
        <f>SUM(CC5:CC7)</f>
        <v>100</v>
      </c>
    </row>
    <row r="9" spans="1:81" ht="26.25" customHeight="1" x14ac:dyDescent="0.25">
      <c r="A9" s="20" t="s">
        <v>126</v>
      </c>
      <c r="B9" s="23" t="str">
        <f t="shared" ref="B9:M9" si="6">IF(ROUND(B5,1)=ROUND(B6,1),"Empate",IF(B5&gt;B6,"Becerra +","Hilton +")&amp;TEXT(ABS(B5-B6),IF(ABS(B5-B6)=INT(ABS(B5-B6)),"0","0.0")))</f>
        <v>Becerra +5.6</v>
      </c>
      <c r="C9" s="23" t="str">
        <f t="shared" si="6"/>
        <v>Becerra +10</v>
      </c>
      <c r="D9" s="23" t="str">
        <f t="shared" si="6"/>
        <v>Becerra +25</v>
      </c>
      <c r="E9" s="23" t="str">
        <f t="shared" si="6"/>
        <v>Becerra +22</v>
      </c>
      <c r="F9" s="23" t="str">
        <f t="shared" si="6"/>
        <v>Becerra +18</v>
      </c>
      <c r="G9" s="23" t="str">
        <f t="shared" si="6"/>
        <v>Becerra +22</v>
      </c>
      <c r="H9" s="23" t="str">
        <f t="shared" si="6"/>
        <v>Becerra +8.2</v>
      </c>
      <c r="I9" s="23" t="str">
        <f t="shared" si="6"/>
        <v>Becerra +18</v>
      </c>
      <c r="J9" s="23" t="str">
        <f t="shared" si="6"/>
        <v>Becerra +25</v>
      </c>
      <c r="K9" s="23" t="str">
        <f t="shared" si="6"/>
        <v>Becerra +25</v>
      </c>
      <c r="L9" s="23" t="str">
        <f t="shared" si="6"/>
        <v>Becerra +23</v>
      </c>
      <c r="M9" s="23" t="str">
        <f t="shared" si="6"/>
        <v>Becerra +21</v>
      </c>
      <c r="N9" s="23" t="s">
        <v>127</v>
      </c>
      <c r="O9" s="23" t="s">
        <v>128</v>
      </c>
      <c r="P9" s="23" t="s">
        <v>129</v>
      </c>
      <c r="Q9" s="23" t="s">
        <v>130</v>
      </c>
      <c r="R9" s="23" t="s">
        <v>131</v>
      </c>
      <c r="S9" s="23" t="s">
        <v>132</v>
      </c>
      <c r="T9" s="23" t="s">
        <v>133</v>
      </c>
      <c r="U9" s="23" t="s">
        <v>134</v>
      </c>
      <c r="V9" s="23" t="s">
        <v>135</v>
      </c>
      <c r="W9" s="23" t="s">
        <v>136</v>
      </c>
      <c r="X9" s="23" t="s">
        <v>137</v>
      </c>
      <c r="Y9" s="23" t="s">
        <v>138</v>
      </c>
      <c r="Z9" s="23" t="s">
        <v>139</v>
      </c>
      <c r="AA9" s="23" t="s">
        <v>140</v>
      </c>
      <c r="AB9" s="23" t="s">
        <v>141</v>
      </c>
      <c r="AC9" s="23" t="s">
        <v>142</v>
      </c>
      <c r="AD9" s="23" t="s">
        <v>143</v>
      </c>
      <c r="AE9" s="23" t="s">
        <v>142</v>
      </c>
      <c r="AF9" s="23" t="s">
        <v>144</v>
      </c>
      <c r="AG9" s="23" t="s">
        <v>142</v>
      </c>
      <c r="AH9" s="23" t="s">
        <v>135</v>
      </c>
      <c r="AI9" s="23" t="s">
        <v>145</v>
      </c>
      <c r="AJ9" s="23" t="s">
        <v>146</v>
      </c>
      <c r="AK9" s="23" t="s">
        <v>147</v>
      </c>
      <c r="AL9" s="23" t="s">
        <v>148</v>
      </c>
      <c r="AM9" s="23" t="s">
        <v>149</v>
      </c>
      <c r="AN9" s="23" t="s">
        <v>150</v>
      </c>
      <c r="AO9" s="23" t="s">
        <v>128</v>
      </c>
      <c r="AP9" s="23" t="s">
        <v>147</v>
      </c>
      <c r="AQ9" s="23" t="s">
        <v>151</v>
      </c>
      <c r="AR9" s="23" t="s">
        <v>149</v>
      </c>
      <c r="AS9" s="23" t="s">
        <v>152</v>
      </c>
      <c r="AT9" s="23" t="s">
        <v>143</v>
      </c>
      <c r="AU9" s="23" t="s">
        <v>136</v>
      </c>
      <c r="AV9" s="23" t="s">
        <v>142</v>
      </c>
      <c r="AW9" s="23" t="s">
        <v>153</v>
      </c>
      <c r="AX9" s="23" t="s">
        <v>154</v>
      </c>
      <c r="AY9" s="23" t="s">
        <v>147</v>
      </c>
      <c r="AZ9" s="23" t="s">
        <v>149</v>
      </c>
      <c r="BA9" s="23" t="s">
        <v>152</v>
      </c>
      <c r="BB9" s="23" t="s">
        <v>155</v>
      </c>
      <c r="BC9" s="23" t="s">
        <v>154</v>
      </c>
      <c r="BD9" s="23" t="s">
        <v>147</v>
      </c>
      <c r="BE9" s="23" t="s">
        <v>156</v>
      </c>
      <c r="BF9" s="23" t="s">
        <v>152</v>
      </c>
      <c r="BG9" s="23" t="s">
        <v>157</v>
      </c>
      <c r="BH9" s="23" t="s">
        <v>158</v>
      </c>
      <c r="BI9" s="23" t="s">
        <v>146</v>
      </c>
      <c r="BJ9" s="23" t="s">
        <v>131</v>
      </c>
      <c r="BK9" s="23" t="s">
        <v>149</v>
      </c>
      <c r="BL9" s="23" t="s">
        <v>159</v>
      </c>
      <c r="BM9" s="23" t="s">
        <v>160</v>
      </c>
      <c r="BN9" s="23" t="s">
        <v>161</v>
      </c>
      <c r="BO9" s="23" t="s">
        <v>151</v>
      </c>
      <c r="BP9" s="23" t="s">
        <v>151</v>
      </c>
      <c r="BQ9" s="23" t="s">
        <v>162</v>
      </c>
      <c r="BR9" s="23" t="s">
        <v>152</v>
      </c>
      <c r="BS9" s="23" t="s">
        <v>163</v>
      </c>
      <c r="BT9" s="23" t="s">
        <v>162</v>
      </c>
      <c r="BU9" s="23" t="s">
        <v>147</v>
      </c>
      <c r="BV9" s="23" t="s">
        <v>149</v>
      </c>
      <c r="BW9" s="23" t="s">
        <v>164</v>
      </c>
      <c r="BX9" s="23" t="s">
        <v>165</v>
      </c>
      <c r="BY9" s="23" t="s">
        <v>132</v>
      </c>
      <c r="BZ9" s="23" t="s">
        <v>166</v>
      </c>
      <c r="CA9" s="23" t="s">
        <v>132</v>
      </c>
      <c r="CB9" s="23" t="s">
        <v>167</v>
      </c>
      <c r="CC9" s="24" t="str">
        <f>IF(ROUND(CC5,1)=ROUND(CC6,1),"Empate",IF(CC5&gt;CC6,"Becerra +","Hilton +")&amp;TEXT(ABS(CC5-CC6),"0.0"))</f>
        <v>Becerra +18.6</v>
      </c>
    </row>
    <row r="10" spans="1:81" ht="15" customHeight="1" x14ac:dyDescent="0.25">
      <c r="M10" s="3"/>
      <c r="N10" s="3"/>
      <c r="O10" s="3"/>
      <c r="P10" s="3"/>
      <c r="Q10" s="3"/>
      <c r="R10" s="3"/>
      <c r="S10" s="3"/>
      <c r="T10" s="3"/>
    </row>
    <row r="11" spans="1:81" ht="15" customHeight="1" x14ac:dyDescent="0.25">
      <c r="M11" s="3"/>
      <c r="N11" s="3"/>
      <c r="O11" s="3"/>
      <c r="P11" s="3"/>
      <c r="Q11" s="3"/>
      <c r="R11" s="3"/>
      <c r="S11" s="3"/>
      <c r="T11" s="3"/>
    </row>
    <row r="12" spans="1:81" ht="17.25" customHeight="1" x14ac:dyDescent="0.25">
      <c r="A12" s="25" t="s">
        <v>168</v>
      </c>
      <c r="B12" s="26"/>
      <c r="C12" s="26"/>
      <c r="D12" s="26"/>
      <c r="E12" s="26"/>
    </row>
    <row r="13" spans="1:81" ht="54" customHeight="1" x14ac:dyDescent="0.25">
      <c r="A13" s="7" t="s">
        <v>169</v>
      </c>
      <c r="B13" s="8" t="s">
        <v>170</v>
      </c>
      <c r="C13" s="8" t="s">
        <v>171</v>
      </c>
      <c r="D13" s="8" t="s">
        <v>172</v>
      </c>
      <c r="E13" s="9" t="s">
        <v>45</v>
      </c>
    </row>
    <row r="14" spans="1:81" ht="15" customHeight="1" x14ac:dyDescent="0.25">
      <c r="A14" s="10" t="s">
        <v>173</v>
      </c>
      <c r="B14" s="11" t="s">
        <v>174</v>
      </c>
      <c r="C14" s="11" t="s">
        <v>175</v>
      </c>
      <c r="D14" s="11" t="s">
        <v>176</v>
      </c>
      <c r="E14" s="12" t="s">
        <v>177</v>
      </c>
    </row>
    <row r="15" spans="1:81" ht="15" customHeight="1" x14ac:dyDescent="0.25">
      <c r="A15" s="13" t="s">
        <v>121</v>
      </c>
      <c r="B15" s="14">
        <v>55.3</v>
      </c>
      <c r="C15" s="14">
        <v>56</v>
      </c>
      <c r="D15" s="14">
        <v>56.8</v>
      </c>
      <c r="E15" s="16">
        <f>AVERAGE(B15:D15)</f>
        <v>56.033333333333331</v>
      </c>
    </row>
    <row r="16" spans="1:81" ht="15" customHeight="1" x14ac:dyDescent="0.25">
      <c r="A16" s="17" t="s">
        <v>123</v>
      </c>
      <c r="B16" s="14">
        <v>35.5</v>
      </c>
      <c r="C16" s="14">
        <v>35</v>
      </c>
      <c r="D16" s="14">
        <v>35</v>
      </c>
      <c r="E16" s="18">
        <f>AVERAGE(B16:D16)</f>
        <v>35.166666666666664</v>
      </c>
    </row>
    <row r="17" spans="1:72" ht="15" customHeight="1" x14ac:dyDescent="0.25">
      <c r="A17" s="10" t="s">
        <v>124</v>
      </c>
      <c r="B17" s="14">
        <v>9.1999999999999993</v>
      </c>
      <c r="C17" s="14">
        <v>9</v>
      </c>
      <c r="D17" s="14">
        <v>8.1999999999999993</v>
      </c>
      <c r="E17" s="19">
        <f>100-E15-E16</f>
        <v>8.8000000000000043</v>
      </c>
    </row>
    <row r="18" spans="1:72" ht="15" customHeight="1" x14ac:dyDescent="0.25">
      <c r="A18" s="20" t="s">
        <v>178</v>
      </c>
      <c r="B18" s="27">
        <f>SUM(B15:B17)</f>
        <v>100</v>
      </c>
      <c r="C18" s="27">
        <f>SUM(C15:C17)</f>
        <v>100</v>
      </c>
      <c r="D18" s="27">
        <f>SUM(D15:D17)</f>
        <v>100</v>
      </c>
      <c r="E18" s="22">
        <f>SUM(E15:E17)</f>
        <v>100</v>
      </c>
    </row>
    <row r="19" spans="1:72" ht="15" customHeight="1" x14ac:dyDescent="0.25">
      <c r="A19" s="20" t="s">
        <v>126</v>
      </c>
      <c r="B19" s="23" t="str">
        <f>IF(ROUND(B15,1)=ROUND(B16,1),"Empate",IF(B15&gt;B16,"Becerra +","Hilton +")&amp;TEXT(ABS(B15-B16),"0.0"))</f>
        <v>Becerra +19.8</v>
      </c>
      <c r="C19" s="23" t="str">
        <f>IF(ROUND(C15,1)=ROUND(C16,1),"Empate",IF(C15&gt;C16,"Becerra +","Hilton +")&amp;TEXT(ABS(C15-C16),"0.0"))</f>
        <v>Becerra +21.0</v>
      </c>
      <c r="D19" s="23" t="str">
        <f>IF(ROUND(D15,1)=ROUND(D16,1),"Empate",IF(D15&gt;D16,"Becerra +","Hilton +")&amp;TEXT(ABS(D15-D16),"0.0"))</f>
        <v>Becerra +21.8</v>
      </c>
      <c r="E19" s="24" t="str">
        <f>IF(ROUND(E15,1)=ROUND(E16,1),"Empate",IF(E15&gt;E16,"Becerra +","Hilton +")&amp;TEXT(ABS(E15-E16),"0.0"))</f>
        <v>Becerra +20.9</v>
      </c>
    </row>
    <row r="22" spans="1:72" ht="16.5" customHeight="1" x14ac:dyDescent="0.25">
      <c r="A22" s="25" t="s">
        <v>179</v>
      </c>
      <c r="B22" s="26"/>
      <c r="C22" s="26"/>
      <c r="D22" s="26"/>
      <c r="E22" s="26"/>
      <c r="F22" s="2" t="s">
        <v>180</v>
      </c>
      <c r="G22" s="2"/>
      <c r="H22" s="2"/>
      <c r="I22" s="2"/>
      <c r="J22" s="2"/>
      <c r="K22" s="2"/>
      <c r="L22" s="2"/>
      <c r="M22" s="2"/>
    </row>
    <row r="23" spans="1:72" ht="24" customHeight="1" x14ac:dyDescent="0.25">
      <c r="A23" s="28" t="s">
        <v>181</v>
      </c>
      <c r="F23" s="11" t="s">
        <v>58</v>
      </c>
      <c r="G23" s="11" t="s">
        <v>59</v>
      </c>
      <c r="H23" s="11" t="s">
        <v>60</v>
      </c>
      <c r="I23" s="11" t="s">
        <v>61</v>
      </c>
      <c r="J23" s="11" t="s">
        <v>62</v>
      </c>
      <c r="K23" s="11" t="s">
        <v>63</v>
      </c>
      <c r="L23" s="11" t="s">
        <v>64</v>
      </c>
      <c r="M23" s="11" t="s">
        <v>65</v>
      </c>
      <c r="N23" s="11" t="s">
        <v>66</v>
      </c>
      <c r="O23" s="11" t="s">
        <v>58</v>
      </c>
      <c r="P23" s="11" t="s">
        <v>67</v>
      </c>
      <c r="Q23" s="11" t="s">
        <v>68</v>
      </c>
      <c r="R23" s="11" t="s">
        <v>69</v>
      </c>
      <c r="S23" s="11" t="s">
        <v>70</v>
      </c>
      <c r="T23" s="11" t="s">
        <v>71</v>
      </c>
      <c r="U23" s="11" t="s">
        <v>72</v>
      </c>
      <c r="V23" s="11" t="s">
        <v>72</v>
      </c>
      <c r="W23" s="11" t="s">
        <v>73</v>
      </c>
      <c r="X23" s="11" t="s">
        <v>74</v>
      </c>
      <c r="Y23" s="11" t="s">
        <v>75</v>
      </c>
      <c r="Z23" s="11" t="s">
        <v>76</v>
      </c>
      <c r="AA23" s="11" t="s">
        <v>77</v>
      </c>
      <c r="AB23" s="11" t="s">
        <v>78</v>
      </c>
      <c r="AC23" s="11" t="s">
        <v>79</v>
      </c>
      <c r="AD23" s="11" t="s">
        <v>80</v>
      </c>
      <c r="AE23" s="11" t="s">
        <v>80</v>
      </c>
      <c r="AF23" s="11" t="s">
        <v>81</v>
      </c>
      <c r="AG23" s="11" t="s">
        <v>82</v>
      </c>
      <c r="AH23" s="11" t="s">
        <v>83</v>
      </c>
      <c r="AI23" s="11" t="s">
        <v>84</v>
      </c>
      <c r="AJ23" s="11" t="s">
        <v>85</v>
      </c>
      <c r="AK23" s="11" t="s">
        <v>86</v>
      </c>
      <c r="AL23" s="11" t="s">
        <v>87</v>
      </c>
      <c r="AM23" s="11" t="s">
        <v>88</v>
      </c>
      <c r="AN23" s="11" t="s">
        <v>89</v>
      </c>
      <c r="AO23" s="11" t="s">
        <v>90</v>
      </c>
      <c r="AP23" s="11" t="s">
        <v>91</v>
      </c>
      <c r="AQ23" s="11" t="s">
        <v>92</v>
      </c>
      <c r="AR23" s="11" t="s">
        <v>92</v>
      </c>
      <c r="AS23" s="11" t="s">
        <v>93</v>
      </c>
      <c r="AT23" s="11" t="s">
        <v>94</v>
      </c>
      <c r="AU23" s="11" t="s">
        <v>95</v>
      </c>
      <c r="AV23" s="11" t="s">
        <v>96</v>
      </c>
      <c r="AW23" s="11" t="s">
        <v>97</v>
      </c>
      <c r="AX23" s="11" t="s">
        <v>98</v>
      </c>
      <c r="AY23" s="11" t="s">
        <v>99</v>
      </c>
      <c r="AZ23" s="11" t="s">
        <v>100</v>
      </c>
      <c r="BA23" s="11" t="s">
        <v>101</v>
      </c>
      <c r="BB23" s="11" t="s">
        <v>102</v>
      </c>
      <c r="BC23" s="11" t="s">
        <v>103</v>
      </c>
      <c r="BD23" s="11" t="s">
        <v>104</v>
      </c>
      <c r="BE23" s="11" t="s">
        <v>105</v>
      </c>
      <c r="BF23" s="11" t="s">
        <v>106</v>
      </c>
      <c r="BG23" s="11" t="s">
        <v>107</v>
      </c>
      <c r="BH23" s="11" t="s">
        <v>108</v>
      </c>
      <c r="BI23" s="11" t="s">
        <v>109</v>
      </c>
      <c r="BJ23" s="11" t="s">
        <v>110</v>
      </c>
      <c r="BK23" s="11" t="s">
        <v>111</v>
      </c>
      <c r="BL23" s="11" t="s">
        <v>112</v>
      </c>
      <c r="BM23" s="11" t="s">
        <v>113</v>
      </c>
      <c r="BN23" s="11" t="s">
        <v>114</v>
      </c>
      <c r="BO23" s="11" t="s">
        <v>115</v>
      </c>
      <c r="BP23" s="11" t="s">
        <v>116</v>
      </c>
      <c r="BQ23" s="11" t="s">
        <v>117</v>
      </c>
      <c r="BR23" s="11" t="s">
        <v>118</v>
      </c>
      <c r="BS23" s="11" t="s">
        <v>119</v>
      </c>
      <c r="BT23" s="11" t="s">
        <v>120</v>
      </c>
    </row>
    <row r="24" spans="1:72" ht="31.5" customHeight="1" x14ac:dyDescent="0.25">
      <c r="A24" s="7" t="s">
        <v>182</v>
      </c>
      <c r="B24" s="29" t="s">
        <v>183</v>
      </c>
      <c r="C24" s="29" t="s">
        <v>184</v>
      </c>
      <c r="D24" s="29" t="s">
        <v>185</v>
      </c>
      <c r="E24" s="29" t="s">
        <v>186</v>
      </c>
      <c r="F24" s="29" t="s">
        <v>187</v>
      </c>
      <c r="G24" s="29" t="s">
        <v>9</v>
      </c>
      <c r="H24" s="29" t="s">
        <v>187</v>
      </c>
      <c r="I24" s="29" t="s">
        <v>9</v>
      </c>
      <c r="J24" s="29" t="s">
        <v>9</v>
      </c>
      <c r="K24" s="29" t="s">
        <v>9</v>
      </c>
      <c r="L24" s="29" t="s">
        <v>188</v>
      </c>
      <c r="M24" s="29" t="s">
        <v>189</v>
      </c>
      <c r="N24" s="29" t="s">
        <v>190</v>
      </c>
      <c r="O24" s="29" t="s">
        <v>191</v>
      </c>
      <c r="P24" s="29" t="s">
        <v>192</v>
      </c>
      <c r="Q24" s="29" t="s">
        <v>193</v>
      </c>
      <c r="R24" s="29" t="s">
        <v>10</v>
      </c>
      <c r="S24" s="29" t="s">
        <v>11</v>
      </c>
      <c r="T24" s="29" t="s">
        <v>188</v>
      </c>
      <c r="U24" s="29" t="s">
        <v>194</v>
      </c>
      <c r="V24" s="29" t="s">
        <v>195</v>
      </c>
      <c r="W24" s="29" t="s">
        <v>196</v>
      </c>
      <c r="X24" s="29" t="s">
        <v>193</v>
      </c>
      <c r="Y24" s="29" t="s">
        <v>10</v>
      </c>
      <c r="Z24" s="29" t="s">
        <v>197</v>
      </c>
      <c r="AA24" s="29" t="s">
        <v>198</v>
      </c>
      <c r="AB24" s="29" t="s">
        <v>196</v>
      </c>
      <c r="AC24" s="29" t="s">
        <v>190</v>
      </c>
      <c r="AD24" s="29" t="s">
        <v>199</v>
      </c>
      <c r="AE24" s="29" t="s">
        <v>200</v>
      </c>
      <c r="AF24" s="29" t="s">
        <v>201</v>
      </c>
      <c r="AG24" s="29" t="s">
        <v>202</v>
      </c>
      <c r="AH24" s="29" t="s">
        <v>199</v>
      </c>
      <c r="AI24" s="29" t="s">
        <v>10</v>
      </c>
      <c r="AJ24" s="29" t="s">
        <v>196</v>
      </c>
      <c r="AK24" s="29" t="s">
        <v>189</v>
      </c>
      <c r="AL24" s="29" t="s">
        <v>198</v>
      </c>
      <c r="AM24" s="29" t="s">
        <v>190</v>
      </c>
      <c r="AN24" s="29" t="s">
        <v>193</v>
      </c>
      <c r="AO24" s="29" t="s">
        <v>196</v>
      </c>
      <c r="AP24" s="29" t="s">
        <v>10</v>
      </c>
      <c r="AQ24" s="29" t="s">
        <v>195</v>
      </c>
      <c r="AR24" s="29" t="s">
        <v>196</v>
      </c>
      <c r="AS24" s="29" t="s">
        <v>188</v>
      </c>
      <c r="AT24" s="29" t="s">
        <v>189</v>
      </c>
      <c r="AU24" s="29" t="s">
        <v>203</v>
      </c>
      <c r="AV24" s="29" t="s">
        <v>194</v>
      </c>
      <c r="AW24" s="29" t="s">
        <v>202</v>
      </c>
      <c r="AX24" s="29" t="s">
        <v>189</v>
      </c>
      <c r="AY24" s="29" t="s">
        <v>204</v>
      </c>
      <c r="AZ24" s="29" t="s">
        <v>201</v>
      </c>
      <c r="BA24" s="29" t="s">
        <v>194</v>
      </c>
      <c r="BB24" s="29" t="s">
        <v>205</v>
      </c>
      <c r="BC24" s="29" t="s">
        <v>206</v>
      </c>
      <c r="BD24" s="29" t="s">
        <v>207</v>
      </c>
      <c r="BE24" s="29" t="s">
        <v>191</v>
      </c>
      <c r="BF24" s="29" t="s">
        <v>193</v>
      </c>
      <c r="BG24" s="29" t="s">
        <v>208</v>
      </c>
      <c r="BH24" s="29" t="s">
        <v>209</v>
      </c>
      <c r="BI24" s="29" t="s">
        <v>189</v>
      </c>
      <c r="BJ24" s="29" t="s">
        <v>210</v>
      </c>
      <c r="BK24" s="29" t="s">
        <v>204</v>
      </c>
      <c r="BL24" s="29" t="s">
        <v>211</v>
      </c>
      <c r="BM24" s="29" t="s">
        <v>201</v>
      </c>
      <c r="BN24" s="29" t="s">
        <v>189</v>
      </c>
      <c r="BO24" s="29" t="s">
        <v>212</v>
      </c>
      <c r="BP24" s="29" t="s">
        <v>213</v>
      </c>
      <c r="BQ24" s="29" t="s">
        <v>214</v>
      </c>
      <c r="BR24" s="29" t="s">
        <v>189</v>
      </c>
      <c r="BS24" s="29" t="s">
        <v>215</v>
      </c>
      <c r="BT24" s="29" t="s">
        <v>216</v>
      </c>
    </row>
    <row r="25" spans="1:72" ht="25.5" customHeight="1" x14ac:dyDescent="0.25">
      <c r="A25" s="13" t="s">
        <v>217</v>
      </c>
      <c r="B25" s="30" t="s">
        <v>218</v>
      </c>
      <c r="C25" s="31">
        <v>2591857</v>
      </c>
      <c r="D25" s="32">
        <v>0.28000000000000003</v>
      </c>
      <c r="E25" s="33" t="s">
        <v>219</v>
      </c>
      <c r="F25" s="34">
        <v>0.28000000000000003</v>
      </c>
      <c r="G25" s="34">
        <v>0.23</v>
      </c>
      <c r="H25" s="34">
        <v>0.19</v>
      </c>
      <c r="I25" s="34">
        <v>0.05</v>
      </c>
      <c r="J25" s="34">
        <v>0.05</v>
      </c>
      <c r="K25" s="34">
        <v>0.14000000000000001</v>
      </c>
      <c r="L25" s="34">
        <v>0.09</v>
      </c>
      <c r="M25" s="34" t="s">
        <v>122</v>
      </c>
      <c r="N25" s="34">
        <v>0.17</v>
      </c>
      <c r="O25" s="34">
        <v>0.18</v>
      </c>
      <c r="P25" s="34">
        <v>0.19</v>
      </c>
      <c r="Q25" s="34">
        <v>0.26</v>
      </c>
      <c r="R25" s="34">
        <v>0.27</v>
      </c>
      <c r="S25" s="34">
        <v>0.28999999999999998</v>
      </c>
      <c r="T25" s="34">
        <v>0.25</v>
      </c>
      <c r="U25" s="34">
        <v>0.19</v>
      </c>
      <c r="V25" s="34">
        <v>0.15</v>
      </c>
      <c r="W25" s="34">
        <v>0.21</v>
      </c>
      <c r="X25" s="34">
        <v>0.22</v>
      </c>
      <c r="Y25" s="34">
        <v>0.2</v>
      </c>
      <c r="Z25" s="34">
        <v>0.2</v>
      </c>
      <c r="AA25" s="34">
        <v>0.23</v>
      </c>
      <c r="AB25" s="34">
        <v>0.18</v>
      </c>
      <c r="AC25" s="34">
        <v>0.1</v>
      </c>
      <c r="AD25" s="34">
        <v>0.24</v>
      </c>
      <c r="AE25" s="34">
        <v>0.13</v>
      </c>
      <c r="AF25" s="34">
        <v>0.21</v>
      </c>
      <c r="AG25" s="34">
        <v>0.23</v>
      </c>
      <c r="AH25" s="34">
        <v>0.15</v>
      </c>
      <c r="AI25" s="34">
        <v>0.1</v>
      </c>
      <c r="AJ25" s="34">
        <v>0.13</v>
      </c>
      <c r="AK25" s="34">
        <v>0.1</v>
      </c>
      <c r="AL25" s="34">
        <v>7.0000000000000007E-2</v>
      </c>
      <c r="AM25" s="34">
        <v>0.04</v>
      </c>
      <c r="AN25" s="34">
        <v>0.04</v>
      </c>
      <c r="AO25" s="34">
        <v>0.04</v>
      </c>
      <c r="AP25" s="34">
        <v>0.02</v>
      </c>
      <c r="AQ25" s="34">
        <v>0.03</v>
      </c>
      <c r="AR25" s="34">
        <v>0.03</v>
      </c>
      <c r="AS25" s="34">
        <v>0.05</v>
      </c>
      <c r="AT25" s="34">
        <v>0.03</v>
      </c>
      <c r="AU25" s="34">
        <v>0.05</v>
      </c>
      <c r="AV25" s="34">
        <v>0.05</v>
      </c>
      <c r="AW25" s="34">
        <v>0.03</v>
      </c>
      <c r="AX25" s="34">
        <v>0.04</v>
      </c>
      <c r="AY25" s="34">
        <v>0.06</v>
      </c>
      <c r="AZ25" s="34">
        <v>0.06</v>
      </c>
      <c r="BA25" s="34">
        <v>0.04</v>
      </c>
      <c r="BB25" s="34">
        <v>0.06</v>
      </c>
      <c r="BC25" s="34">
        <v>0.04</v>
      </c>
      <c r="BD25" s="34">
        <v>0.05</v>
      </c>
      <c r="BE25" s="34">
        <v>0.06</v>
      </c>
      <c r="BF25" s="34">
        <v>0.05</v>
      </c>
      <c r="BG25" s="34">
        <v>0.01</v>
      </c>
      <c r="BH25" s="34">
        <v>0.03</v>
      </c>
      <c r="BI25" s="34">
        <v>0.04</v>
      </c>
      <c r="BJ25" s="34">
        <v>0.06</v>
      </c>
      <c r="BK25" s="34">
        <v>0.09</v>
      </c>
      <c r="BL25" s="34">
        <v>0.08</v>
      </c>
      <c r="BM25" s="34">
        <v>0.09</v>
      </c>
      <c r="BN25" s="34">
        <v>0.05</v>
      </c>
      <c r="BO25" s="34">
        <v>0.08</v>
      </c>
      <c r="BP25" s="34">
        <v>0.05</v>
      </c>
      <c r="BQ25" s="34">
        <v>0.09</v>
      </c>
      <c r="BR25" s="34">
        <v>0.03</v>
      </c>
      <c r="BS25" s="34" t="s">
        <v>122</v>
      </c>
      <c r="BT25" s="34">
        <v>0.05</v>
      </c>
    </row>
    <row r="26" spans="1:72" ht="25.5" customHeight="1" x14ac:dyDescent="0.25">
      <c r="A26" s="17" t="s">
        <v>220</v>
      </c>
      <c r="B26" s="35" t="s">
        <v>221</v>
      </c>
      <c r="C26" s="36">
        <v>2277318</v>
      </c>
      <c r="D26" s="37">
        <v>0.246</v>
      </c>
      <c r="E26" s="38" t="s">
        <v>222</v>
      </c>
      <c r="F26" s="39">
        <v>0.21</v>
      </c>
      <c r="G26" s="39">
        <v>0.2</v>
      </c>
      <c r="H26" s="39">
        <v>0.17</v>
      </c>
      <c r="I26" s="39">
        <v>0.17</v>
      </c>
      <c r="J26" s="39">
        <v>0.14000000000000001</v>
      </c>
      <c r="K26" s="39">
        <v>0.14000000000000001</v>
      </c>
      <c r="L26" s="39">
        <v>0.06</v>
      </c>
      <c r="M26" s="39">
        <v>0.12</v>
      </c>
      <c r="N26" s="39">
        <v>0.2</v>
      </c>
      <c r="O26" s="39">
        <v>0.2</v>
      </c>
      <c r="P26" s="39">
        <v>0.25</v>
      </c>
      <c r="Q26" s="39">
        <v>0.27</v>
      </c>
      <c r="R26" s="39">
        <v>0.26</v>
      </c>
      <c r="S26" s="39">
        <v>0.23</v>
      </c>
      <c r="T26" s="39">
        <v>0.21</v>
      </c>
      <c r="U26" s="39">
        <v>0.22</v>
      </c>
      <c r="V26" s="39">
        <v>0.25</v>
      </c>
      <c r="W26" s="39">
        <v>0.22</v>
      </c>
      <c r="X26" s="39">
        <v>0.23</v>
      </c>
      <c r="Y26" s="39">
        <v>0.22</v>
      </c>
      <c r="Z26" s="39">
        <v>0.2</v>
      </c>
      <c r="AA26" s="39">
        <v>0.23</v>
      </c>
      <c r="AB26" s="39">
        <v>0.18</v>
      </c>
      <c r="AC26" s="39">
        <v>0.2</v>
      </c>
      <c r="AD26" s="39">
        <v>0.23</v>
      </c>
      <c r="AE26" s="39">
        <v>0.16</v>
      </c>
      <c r="AF26" s="39">
        <v>0.2</v>
      </c>
      <c r="AG26" s="39">
        <v>0.2</v>
      </c>
      <c r="AH26" s="39">
        <v>0.2</v>
      </c>
      <c r="AI26" s="39">
        <v>0.18</v>
      </c>
      <c r="AJ26" s="39">
        <v>0.16</v>
      </c>
      <c r="AK26" s="39">
        <v>0.17</v>
      </c>
      <c r="AL26" s="39">
        <v>0.25</v>
      </c>
      <c r="AM26" s="39">
        <v>0.18</v>
      </c>
      <c r="AN26" s="39">
        <v>0.22</v>
      </c>
      <c r="AO26" s="39">
        <v>0.14000000000000001</v>
      </c>
      <c r="AP26" s="39">
        <v>0.19</v>
      </c>
      <c r="AQ26" s="39">
        <v>0.2</v>
      </c>
      <c r="AR26" s="39">
        <v>0.16</v>
      </c>
      <c r="AS26" s="39">
        <v>0.17</v>
      </c>
      <c r="AT26" s="39">
        <v>0.13</v>
      </c>
      <c r="AU26" s="39">
        <v>0.19</v>
      </c>
      <c r="AV26" s="39">
        <v>0.2</v>
      </c>
      <c r="AW26" s="39">
        <v>0.15</v>
      </c>
      <c r="AX26" s="39">
        <v>0.17</v>
      </c>
      <c r="AY26" s="39">
        <v>0.12</v>
      </c>
      <c r="AZ26" s="39">
        <v>0.17</v>
      </c>
      <c r="BA26" s="39">
        <v>0.18</v>
      </c>
      <c r="BB26" s="39">
        <v>0.14000000000000001</v>
      </c>
      <c r="BC26" s="39">
        <v>0.16</v>
      </c>
      <c r="BD26" s="39">
        <v>0.15</v>
      </c>
      <c r="BE26" s="39">
        <v>0.17</v>
      </c>
      <c r="BF26" s="39">
        <v>0.14000000000000001</v>
      </c>
      <c r="BG26" s="39">
        <v>0.18</v>
      </c>
      <c r="BH26" s="39">
        <v>0.18</v>
      </c>
      <c r="BI26" s="39">
        <v>0.12</v>
      </c>
      <c r="BJ26" s="39">
        <v>0.17</v>
      </c>
      <c r="BK26" s="39">
        <v>0.12</v>
      </c>
      <c r="BL26" s="39">
        <v>0.08</v>
      </c>
      <c r="BM26" s="39">
        <v>0.2</v>
      </c>
      <c r="BN26" s="39">
        <v>0.16</v>
      </c>
      <c r="BO26" s="39">
        <v>0.13</v>
      </c>
      <c r="BP26" s="39">
        <v>0.1</v>
      </c>
      <c r="BQ26" s="39">
        <v>0.1</v>
      </c>
      <c r="BR26" s="39" t="s">
        <v>122</v>
      </c>
      <c r="BS26" s="39" t="s">
        <v>122</v>
      </c>
      <c r="BT26" s="39" t="s">
        <v>122</v>
      </c>
    </row>
    <row r="27" spans="1:72" ht="15" customHeight="1" x14ac:dyDescent="0.25">
      <c r="A27" s="40" t="s">
        <v>223</v>
      </c>
      <c r="B27" s="41" t="s">
        <v>218</v>
      </c>
      <c r="C27" s="42">
        <v>2110707</v>
      </c>
      <c r="D27" s="43">
        <v>0.22800000000000001</v>
      </c>
      <c r="E27" s="44"/>
      <c r="F27" s="45">
        <v>0.22</v>
      </c>
      <c r="G27" s="45">
        <v>0.15</v>
      </c>
      <c r="H27" s="45">
        <v>0.17</v>
      </c>
      <c r="I27" s="45">
        <v>0.14000000000000001</v>
      </c>
      <c r="J27" s="45">
        <v>0.1</v>
      </c>
      <c r="K27" s="45" t="s">
        <v>122</v>
      </c>
      <c r="L27" s="45" t="s">
        <v>122</v>
      </c>
      <c r="M27" s="45" t="s">
        <v>122</v>
      </c>
      <c r="N27" s="45">
        <v>0.2</v>
      </c>
      <c r="O27" s="45">
        <v>0.21</v>
      </c>
      <c r="P27" s="45">
        <v>0.25</v>
      </c>
      <c r="Q27" s="45">
        <v>0.22</v>
      </c>
      <c r="R27" s="45">
        <v>0.2</v>
      </c>
      <c r="S27" s="45">
        <v>0.18</v>
      </c>
      <c r="T27" s="45">
        <v>0.19</v>
      </c>
      <c r="U27" s="45">
        <v>0.19</v>
      </c>
      <c r="V27" s="45">
        <v>0.18</v>
      </c>
      <c r="W27" s="45">
        <v>0.15</v>
      </c>
      <c r="X27" s="45">
        <v>0.15</v>
      </c>
      <c r="Y27" s="45">
        <v>0.14000000000000001</v>
      </c>
      <c r="Z27" s="45">
        <v>0.12</v>
      </c>
      <c r="AA27" s="45">
        <v>0.14000000000000001</v>
      </c>
      <c r="AB27" s="45">
        <v>0.12</v>
      </c>
      <c r="AC27" s="45">
        <v>0.18</v>
      </c>
      <c r="AD27" s="45">
        <v>0.15</v>
      </c>
      <c r="AE27" s="45">
        <v>0.15</v>
      </c>
      <c r="AF27" s="45">
        <v>0.17</v>
      </c>
      <c r="AG27" s="45">
        <v>0.14000000000000001</v>
      </c>
      <c r="AH27" s="45">
        <v>0.15</v>
      </c>
      <c r="AI27" s="45">
        <v>0.16</v>
      </c>
      <c r="AJ27" s="45">
        <v>0.13</v>
      </c>
      <c r="AK27" s="45">
        <v>0.14000000000000001</v>
      </c>
      <c r="AL27" s="45">
        <v>0.16</v>
      </c>
      <c r="AM27" s="45">
        <v>0.21</v>
      </c>
      <c r="AN27" s="45">
        <v>0.12</v>
      </c>
      <c r="AO27" s="45">
        <v>0.11</v>
      </c>
      <c r="AP27" s="45">
        <v>0.13</v>
      </c>
      <c r="AQ27" s="45">
        <v>0.13</v>
      </c>
      <c r="AR27" s="45">
        <v>0.1</v>
      </c>
      <c r="AS27" s="45">
        <v>0.1</v>
      </c>
      <c r="AT27" s="45">
        <v>0.11</v>
      </c>
      <c r="AU27" s="45">
        <v>0.13</v>
      </c>
      <c r="AV27" s="45">
        <v>0.16</v>
      </c>
      <c r="AW27" s="45">
        <v>0.08</v>
      </c>
      <c r="AX27" s="45">
        <v>0.09</v>
      </c>
      <c r="AY27" s="45">
        <v>0.09</v>
      </c>
      <c r="AZ27" s="45">
        <v>0.09</v>
      </c>
      <c r="BA27" s="45">
        <v>0.1</v>
      </c>
      <c r="BB27" s="45">
        <v>0.12</v>
      </c>
      <c r="BC27" s="45">
        <v>0.08</v>
      </c>
      <c r="BD27" s="45">
        <v>0.1</v>
      </c>
      <c r="BE27" s="45">
        <v>0.08</v>
      </c>
      <c r="BF27" s="45">
        <v>0.08</v>
      </c>
      <c r="BG27" s="45">
        <v>7.0000000000000007E-2</v>
      </c>
      <c r="BH27" s="45">
        <v>0.06</v>
      </c>
      <c r="BI27" s="45">
        <v>0.04</v>
      </c>
      <c r="BJ27" s="45">
        <v>0.04</v>
      </c>
      <c r="BK27" s="45" t="s">
        <v>122</v>
      </c>
      <c r="BL27" s="45" t="s">
        <v>122</v>
      </c>
      <c r="BM27" s="45">
        <v>0.03</v>
      </c>
      <c r="BN27" s="45" t="s">
        <v>122</v>
      </c>
      <c r="BO27" s="45">
        <v>7.0000000000000007E-2</v>
      </c>
      <c r="BP27" s="45" t="s">
        <v>122</v>
      </c>
      <c r="BQ27" s="45" t="s">
        <v>122</v>
      </c>
      <c r="BR27" s="45" t="s">
        <v>122</v>
      </c>
      <c r="BS27" s="45" t="s">
        <v>122</v>
      </c>
      <c r="BT27" s="45" t="s">
        <v>122</v>
      </c>
    </row>
    <row r="28" spans="1:72" ht="15" customHeight="1" x14ac:dyDescent="0.25">
      <c r="A28" s="46" t="s">
        <v>224</v>
      </c>
      <c r="B28" s="41" t="s">
        <v>221</v>
      </c>
      <c r="C28" s="42">
        <v>941708</v>
      </c>
      <c r="D28" s="43">
        <v>0.10199999999999999</v>
      </c>
      <c r="E28" s="44"/>
      <c r="F28" s="45">
        <v>0.12</v>
      </c>
      <c r="G28" s="45">
        <v>0.13</v>
      </c>
      <c r="H28" s="45" t="s">
        <v>122</v>
      </c>
      <c r="I28" s="45">
        <v>0.14000000000000001</v>
      </c>
      <c r="J28" s="45">
        <v>0.12</v>
      </c>
      <c r="K28" s="45">
        <v>0.1</v>
      </c>
      <c r="L28" s="45">
        <v>0.1</v>
      </c>
      <c r="M28" s="45">
        <v>7.0000000000000007E-2</v>
      </c>
      <c r="N28" s="45">
        <v>0.11</v>
      </c>
      <c r="O28" s="45">
        <v>0.14000000000000001</v>
      </c>
      <c r="P28" s="45">
        <v>0.1</v>
      </c>
      <c r="Q28" s="45">
        <v>0.09</v>
      </c>
      <c r="R28" s="45">
        <v>0.09</v>
      </c>
      <c r="S28" s="45">
        <v>0.11</v>
      </c>
      <c r="T28" s="45">
        <v>0.11</v>
      </c>
      <c r="U28" s="45">
        <v>0.12</v>
      </c>
      <c r="V28" s="45">
        <v>0.12</v>
      </c>
      <c r="W28" s="45">
        <v>0.1</v>
      </c>
      <c r="X28" s="45">
        <v>0.13</v>
      </c>
      <c r="Y28" s="45">
        <v>0.13</v>
      </c>
      <c r="Z28" s="45">
        <v>0.14000000000000001</v>
      </c>
      <c r="AA28" s="45">
        <v>0.11</v>
      </c>
      <c r="AB28" s="45">
        <v>0.14000000000000001</v>
      </c>
      <c r="AC28" s="45">
        <v>0.12</v>
      </c>
      <c r="AD28" s="45">
        <v>0.13</v>
      </c>
      <c r="AE28" s="45">
        <v>0.1</v>
      </c>
      <c r="AF28" s="45">
        <v>0.14000000000000001</v>
      </c>
      <c r="AG28" s="45">
        <v>0.17</v>
      </c>
      <c r="AH28" s="45">
        <v>0.14000000000000001</v>
      </c>
      <c r="AI28" s="45">
        <v>0.14000000000000001</v>
      </c>
      <c r="AJ28" s="45">
        <v>0.14000000000000001</v>
      </c>
      <c r="AK28" s="45">
        <v>0.14000000000000001</v>
      </c>
      <c r="AL28" s="45">
        <v>0.1</v>
      </c>
      <c r="AM28" s="45">
        <v>0.08</v>
      </c>
      <c r="AN28" s="45">
        <v>0.13</v>
      </c>
      <c r="AO28" s="45">
        <v>0.14000000000000001</v>
      </c>
      <c r="AP28" s="45">
        <v>0.1</v>
      </c>
      <c r="AQ28" s="45">
        <v>0.14000000000000001</v>
      </c>
      <c r="AR28" s="45">
        <v>0.14000000000000001</v>
      </c>
      <c r="AS28" s="45">
        <v>0.16</v>
      </c>
      <c r="AT28" s="45">
        <v>0.11</v>
      </c>
      <c r="AU28" s="45">
        <v>0.11</v>
      </c>
      <c r="AV28" s="45">
        <v>0.15</v>
      </c>
      <c r="AW28" s="45">
        <v>0.23</v>
      </c>
      <c r="AX28" s="45">
        <v>0.14000000000000001</v>
      </c>
      <c r="AY28" s="45">
        <v>0.2</v>
      </c>
      <c r="AZ28" s="45">
        <v>0.21</v>
      </c>
      <c r="BA28" s="45">
        <v>0.18</v>
      </c>
      <c r="BB28" s="45">
        <v>0.11</v>
      </c>
      <c r="BC28" s="45">
        <v>0.15</v>
      </c>
      <c r="BD28" s="45">
        <v>0.15</v>
      </c>
      <c r="BE28" s="45">
        <v>0.18</v>
      </c>
      <c r="BF28" s="45">
        <v>0.17</v>
      </c>
      <c r="BG28" s="45">
        <v>0.14000000000000001</v>
      </c>
      <c r="BH28" s="45">
        <v>0.17</v>
      </c>
      <c r="BI28" s="45">
        <v>0.13</v>
      </c>
      <c r="BJ28" s="45">
        <v>0.1</v>
      </c>
      <c r="BK28" s="45">
        <v>0.16</v>
      </c>
      <c r="BL28" s="45">
        <v>0.13</v>
      </c>
      <c r="BM28" s="45">
        <v>0.14000000000000001</v>
      </c>
      <c r="BN28" s="45">
        <v>0.11</v>
      </c>
      <c r="BO28" s="45">
        <v>0.14000000000000001</v>
      </c>
      <c r="BP28" s="45">
        <v>0.08</v>
      </c>
      <c r="BQ28" s="45">
        <v>0.15</v>
      </c>
      <c r="BR28" s="45">
        <v>0.04</v>
      </c>
      <c r="BS28" s="45" t="s">
        <v>122</v>
      </c>
      <c r="BT28" s="45" t="s">
        <v>122</v>
      </c>
    </row>
    <row r="29" spans="1:72" ht="15" customHeight="1" x14ac:dyDescent="0.25">
      <c r="A29" s="40" t="s">
        <v>225</v>
      </c>
      <c r="B29" s="41" t="s">
        <v>218</v>
      </c>
      <c r="C29" s="42">
        <v>403908</v>
      </c>
      <c r="D29" s="43">
        <v>4.3999999999999997E-2</v>
      </c>
      <c r="E29" s="44"/>
      <c r="F29" s="45">
        <v>0.05</v>
      </c>
      <c r="G29" s="45">
        <v>0.12</v>
      </c>
      <c r="H29" s="45">
        <v>0.1</v>
      </c>
      <c r="I29" s="45">
        <v>0.1</v>
      </c>
      <c r="J29" s="45">
        <v>0.13</v>
      </c>
      <c r="K29" s="45">
        <v>0.21</v>
      </c>
      <c r="L29" s="45">
        <v>0.17</v>
      </c>
      <c r="M29" s="45">
        <v>0.18</v>
      </c>
      <c r="N29" s="45">
        <v>7.0000000000000007E-2</v>
      </c>
      <c r="O29" s="45">
        <v>7.0000000000000007E-2</v>
      </c>
      <c r="P29" s="45">
        <v>7.0000000000000007E-2</v>
      </c>
      <c r="Q29" s="45">
        <v>0.08</v>
      </c>
      <c r="R29" s="45">
        <v>0.05</v>
      </c>
      <c r="S29" s="45">
        <v>0.08</v>
      </c>
      <c r="T29" s="45">
        <v>7.0000000000000007E-2</v>
      </c>
      <c r="U29" s="45">
        <v>0.08</v>
      </c>
      <c r="V29" s="45">
        <v>7.0000000000000007E-2</v>
      </c>
      <c r="W29" s="45">
        <v>7.0000000000000007E-2</v>
      </c>
      <c r="X29" s="45">
        <v>0.12</v>
      </c>
      <c r="Y29" s="45">
        <v>0.09</v>
      </c>
      <c r="Z29" s="45" t="s">
        <v>226</v>
      </c>
      <c r="AA29" s="45">
        <v>0.09</v>
      </c>
      <c r="AB29" s="45">
        <v>0.08</v>
      </c>
      <c r="AC29" s="45">
        <v>0.08</v>
      </c>
      <c r="AD29" s="45">
        <v>0.1</v>
      </c>
      <c r="AE29" s="45">
        <v>0.09</v>
      </c>
      <c r="AF29" s="45">
        <v>0.08</v>
      </c>
      <c r="AG29" s="45">
        <v>0.11</v>
      </c>
      <c r="AH29" s="45">
        <v>0.13</v>
      </c>
      <c r="AI29" s="45">
        <v>0.1</v>
      </c>
      <c r="AJ29" s="45">
        <v>0.1</v>
      </c>
      <c r="AK29" s="45">
        <v>0.1</v>
      </c>
      <c r="AL29" s="45">
        <v>0.14000000000000001</v>
      </c>
      <c r="AM29" s="45">
        <v>0.08</v>
      </c>
      <c r="AN29" s="45">
        <v>0.11</v>
      </c>
      <c r="AO29" s="45">
        <v>7.0000000000000007E-2</v>
      </c>
      <c r="AP29" s="45">
        <v>0.08</v>
      </c>
      <c r="AQ29" s="45">
        <v>0.1</v>
      </c>
      <c r="AR29" s="45">
        <v>0.1</v>
      </c>
      <c r="AS29" s="45">
        <v>0.13</v>
      </c>
      <c r="AT29" s="45">
        <v>0.08</v>
      </c>
      <c r="AU29" s="45">
        <v>0.11</v>
      </c>
      <c r="AV29" s="45">
        <v>0.13</v>
      </c>
      <c r="AW29" s="45">
        <v>0.12</v>
      </c>
      <c r="AX29" s="45">
        <v>0.1</v>
      </c>
      <c r="AY29" s="45">
        <v>0.09</v>
      </c>
      <c r="AZ29" s="45">
        <v>0.12</v>
      </c>
      <c r="BA29" s="45">
        <v>0.12</v>
      </c>
      <c r="BB29" s="45">
        <v>0.08</v>
      </c>
      <c r="BC29" s="45">
        <v>0.13</v>
      </c>
      <c r="BD29" s="45">
        <v>0.13</v>
      </c>
      <c r="BE29" s="45">
        <v>0.14000000000000001</v>
      </c>
      <c r="BF29" s="45">
        <v>0.11</v>
      </c>
      <c r="BG29" s="45">
        <v>0.09</v>
      </c>
      <c r="BH29" s="45">
        <v>0.13</v>
      </c>
      <c r="BI29" s="45">
        <v>0.11</v>
      </c>
      <c r="BJ29" s="45">
        <v>0.15</v>
      </c>
      <c r="BK29" s="45">
        <v>0.15</v>
      </c>
      <c r="BL29" s="45">
        <v>0.11</v>
      </c>
      <c r="BM29" s="45">
        <v>0.16</v>
      </c>
      <c r="BN29" s="45">
        <v>0.15</v>
      </c>
      <c r="BO29" s="45">
        <v>0.12</v>
      </c>
      <c r="BP29" s="45">
        <v>0.16</v>
      </c>
      <c r="BQ29" s="45">
        <v>0.21</v>
      </c>
      <c r="BR29" s="45">
        <v>0.12</v>
      </c>
      <c r="BS29" s="45">
        <v>0.21</v>
      </c>
      <c r="BT29" s="45">
        <v>0.26</v>
      </c>
    </row>
    <row r="30" spans="1:72" ht="15" customHeight="1" x14ac:dyDescent="0.25">
      <c r="A30" s="40" t="s">
        <v>227</v>
      </c>
      <c r="B30" s="41" t="s">
        <v>218</v>
      </c>
      <c r="C30" s="42">
        <v>327537</v>
      </c>
      <c r="D30" s="43">
        <v>3.5000000000000003E-2</v>
      </c>
      <c r="E30" s="44"/>
      <c r="F30" s="45">
        <v>0.05</v>
      </c>
      <c r="G30" s="45">
        <v>7.0000000000000007E-2</v>
      </c>
      <c r="H30" s="45">
        <v>0.08</v>
      </c>
      <c r="I30" s="45">
        <v>0.05</v>
      </c>
      <c r="J30" s="45">
        <v>0.03</v>
      </c>
      <c r="K30" s="45" t="s">
        <v>122</v>
      </c>
      <c r="L30" s="45" t="s">
        <v>122</v>
      </c>
      <c r="M30" s="45" t="s">
        <v>122</v>
      </c>
      <c r="N30" s="45">
        <v>0.06</v>
      </c>
      <c r="O30" s="45">
        <v>7.0000000000000007E-2</v>
      </c>
      <c r="P30" s="45">
        <v>0.06</v>
      </c>
      <c r="Q30" s="45">
        <v>0.04</v>
      </c>
      <c r="R30" s="45">
        <v>0.04</v>
      </c>
      <c r="S30" s="45">
        <v>0.04</v>
      </c>
      <c r="T30" s="45">
        <v>0.04</v>
      </c>
      <c r="U30" s="45">
        <v>0.08</v>
      </c>
      <c r="V30" s="45">
        <v>7.0000000000000007E-2</v>
      </c>
      <c r="W30" s="45">
        <v>0.04</v>
      </c>
      <c r="X30" s="45">
        <v>7.0000000000000007E-2</v>
      </c>
      <c r="Y30" s="45">
        <v>0.09</v>
      </c>
      <c r="Z30" s="45">
        <v>0.1</v>
      </c>
      <c r="AA30" s="45">
        <v>0.1</v>
      </c>
      <c r="AB30" s="45">
        <v>7.0000000000000007E-2</v>
      </c>
      <c r="AC30" s="45">
        <v>7.0000000000000007E-2</v>
      </c>
      <c r="AD30" s="45">
        <v>0.06</v>
      </c>
      <c r="AE30" s="45">
        <v>0.04</v>
      </c>
      <c r="AF30" s="45">
        <v>0.08</v>
      </c>
      <c r="AG30" s="45">
        <v>0.04</v>
      </c>
      <c r="AH30" s="45">
        <v>0.06</v>
      </c>
      <c r="AI30" s="45">
        <v>0.04</v>
      </c>
      <c r="AJ30" s="45">
        <v>0.05</v>
      </c>
      <c r="AK30" s="45">
        <v>0.05</v>
      </c>
      <c r="AL30" s="45">
        <v>0.08</v>
      </c>
      <c r="AM30" s="45">
        <v>0.04</v>
      </c>
      <c r="AN30" s="45">
        <v>0.05</v>
      </c>
      <c r="AO30" s="45">
        <v>0.04</v>
      </c>
      <c r="AP30" s="45">
        <v>0.04</v>
      </c>
      <c r="AQ30" s="45">
        <v>0.04</v>
      </c>
      <c r="AR30" s="45">
        <v>0.03</v>
      </c>
      <c r="AS30" s="45">
        <v>0.04</v>
      </c>
      <c r="AT30" s="45">
        <v>0.03</v>
      </c>
      <c r="AU30" s="45">
        <v>0.03</v>
      </c>
      <c r="AV30" s="45">
        <v>0.03</v>
      </c>
      <c r="AW30" s="45">
        <v>0.02</v>
      </c>
      <c r="AX30" s="45">
        <v>0.03</v>
      </c>
      <c r="AY30" s="45">
        <v>0.02</v>
      </c>
      <c r="AZ30" s="45">
        <v>0.05</v>
      </c>
      <c r="BA30" s="45">
        <v>0.03</v>
      </c>
      <c r="BB30" s="45">
        <v>0.04</v>
      </c>
      <c r="BC30" s="45">
        <v>0.03</v>
      </c>
      <c r="BD30" s="45" t="s">
        <v>122</v>
      </c>
      <c r="BE30" s="45">
        <v>0.05</v>
      </c>
      <c r="BF30" s="45" t="s">
        <v>122</v>
      </c>
      <c r="BG30" s="45" t="s">
        <v>122</v>
      </c>
      <c r="BH30" s="45" t="s">
        <v>122</v>
      </c>
      <c r="BI30" s="45" t="s">
        <v>122</v>
      </c>
      <c r="BJ30" s="45" t="s">
        <v>122</v>
      </c>
      <c r="BK30" s="45" t="s">
        <v>122</v>
      </c>
      <c r="BL30" s="45" t="s">
        <v>122</v>
      </c>
      <c r="BM30" s="45" t="s">
        <v>122</v>
      </c>
      <c r="BN30" s="45" t="s">
        <v>122</v>
      </c>
      <c r="BO30" s="45" t="s">
        <v>122</v>
      </c>
      <c r="BP30" s="45" t="s">
        <v>122</v>
      </c>
      <c r="BQ30" s="45" t="s">
        <v>122</v>
      </c>
      <c r="BR30" s="45" t="s">
        <v>122</v>
      </c>
      <c r="BS30" s="45" t="s">
        <v>122</v>
      </c>
      <c r="BT30" s="45" t="s">
        <v>122</v>
      </c>
    </row>
    <row r="31" spans="1:72" ht="15" customHeight="1" x14ac:dyDescent="0.25">
      <c r="A31" s="40" t="s">
        <v>228</v>
      </c>
      <c r="B31" s="41" t="s">
        <v>218</v>
      </c>
      <c r="C31" s="42">
        <v>28164</v>
      </c>
      <c r="D31" s="43">
        <v>3.0000000000000001E-3</v>
      </c>
      <c r="E31" s="44"/>
      <c r="F31" s="45" t="s">
        <v>122</v>
      </c>
      <c r="G31" s="45" t="s">
        <v>122</v>
      </c>
      <c r="H31" s="45" t="s">
        <v>122</v>
      </c>
      <c r="I31" s="45">
        <v>0.18</v>
      </c>
      <c r="J31" s="45">
        <v>0.11</v>
      </c>
      <c r="K31" s="45" t="s">
        <v>122</v>
      </c>
      <c r="L31" s="45" t="s">
        <v>122</v>
      </c>
      <c r="M31" s="45" t="s">
        <v>122</v>
      </c>
      <c r="N31" s="45" t="s">
        <v>122</v>
      </c>
      <c r="O31" s="45" t="s">
        <v>122</v>
      </c>
      <c r="P31" s="45" t="s">
        <v>122</v>
      </c>
      <c r="Q31" s="45" t="s">
        <v>122</v>
      </c>
      <c r="R31" s="45" t="s">
        <v>122</v>
      </c>
      <c r="S31" s="45" t="s">
        <v>122</v>
      </c>
      <c r="T31" s="45" t="s">
        <v>122</v>
      </c>
      <c r="U31" s="45" t="s">
        <v>122</v>
      </c>
      <c r="V31" s="45" t="s">
        <v>122</v>
      </c>
      <c r="W31" s="45" t="s">
        <v>229</v>
      </c>
      <c r="X31" s="45" t="s">
        <v>122</v>
      </c>
      <c r="Y31" s="45" t="s">
        <v>122</v>
      </c>
      <c r="Z31" s="45" t="s">
        <v>122</v>
      </c>
      <c r="AA31" s="45" t="s">
        <v>122</v>
      </c>
      <c r="AB31" s="45">
        <v>0.01</v>
      </c>
      <c r="AC31" s="45" t="s">
        <v>122</v>
      </c>
      <c r="AD31" s="45" t="s">
        <v>229</v>
      </c>
      <c r="AE31" s="45" t="s">
        <v>122</v>
      </c>
      <c r="AF31" s="45" t="s">
        <v>122</v>
      </c>
      <c r="AG31" s="45" t="s">
        <v>122</v>
      </c>
      <c r="AH31" s="45" t="s">
        <v>229</v>
      </c>
      <c r="AI31" s="45" t="s">
        <v>122</v>
      </c>
      <c r="AJ31" s="45">
        <v>0.01</v>
      </c>
      <c r="AK31" s="45" t="s">
        <v>122</v>
      </c>
      <c r="AL31" s="45" t="s">
        <v>122</v>
      </c>
      <c r="AM31" s="45">
        <v>0.09</v>
      </c>
      <c r="AN31" s="45">
        <v>0.18</v>
      </c>
      <c r="AO31" s="45">
        <v>0.12</v>
      </c>
      <c r="AP31" s="45">
        <v>0.13</v>
      </c>
      <c r="AQ31" s="45">
        <v>0.15</v>
      </c>
      <c r="AR31" s="45">
        <v>0.1</v>
      </c>
      <c r="AS31" s="45">
        <v>0.13</v>
      </c>
      <c r="AT31" s="45">
        <v>0.17</v>
      </c>
      <c r="AU31" s="45">
        <v>0.11</v>
      </c>
      <c r="AV31" s="45">
        <v>0.11</v>
      </c>
      <c r="AW31" s="45">
        <v>0.18</v>
      </c>
      <c r="AX31" s="45">
        <v>0.14000000000000001</v>
      </c>
      <c r="AY31" s="45">
        <v>0.1</v>
      </c>
      <c r="AZ31" s="45">
        <v>0.18</v>
      </c>
      <c r="BA31" s="45">
        <v>0.11</v>
      </c>
      <c r="BB31" s="45">
        <v>0.09</v>
      </c>
      <c r="BC31" s="45">
        <v>0.14000000000000001</v>
      </c>
      <c r="BD31" s="45">
        <v>0.14000000000000001</v>
      </c>
      <c r="BE31" s="45">
        <v>0.12</v>
      </c>
      <c r="BF31" s="45">
        <v>0.11</v>
      </c>
      <c r="BG31" s="45">
        <v>0.12</v>
      </c>
      <c r="BH31" s="45">
        <v>0.17</v>
      </c>
      <c r="BI31" s="45">
        <v>0.12</v>
      </c>
      <c r="BJ31" s="45">
        <v>0.1</v>
      </c>
      <c r="BK31" s="45" t="s">
        <v>122</v>
      </c>
      <c r="BL31" s="45" t="s">
        <v>122</v>
      </c>
      <c r="BM31" s="45">
        <v>0.11</v>
      </c>
      <c r="BN31" s="45" t="s">
        <v>122</v>
      </c>
      <c r="BO31" s="45" t="s">
        <v>122</v>
      </c>
      <c r="BP31" s="45" t="s">
        <v>122</v>
      </c>
      <c r="BQ31" s="45" t="s">
        <v>122</v>
      </c>
      <c r="BR31" s="45" t="s">
        <v>122</v>
      </c>
      <c r="BS31" s="45" t="s">
        <v>122</v>
      </c>
      <c r="BT31" s="45" t="s">
        <v>122</v>
      </c>
    </row>
    <row r="32" spans="1:72" ht="15" customHeight="1" x14ac:dyDescent="0.25">
      <c r="A32" s="40" t="s">
        <v>230</v>
      </c>
      <c r="B32" s="41" t="s">
        <v>218</v>
      </c>
      <c r="C32" s="42">
        <v>104107</v>
      </c>
      <c r="D32" s="43">
        <v>1.0999999999999999E-2</v>
      </c>
      <c r="E32" s="44"/>
      <c r="F32" s="45" t="s">
        <v>122</v>
      </c>
      <c r="G32" s="45">
        <v>0.05</v>
      </c>
      <c r="H32" s="45" t="s">
        <v>122</v>
      </c>
      <c r="I32" s="45">
        <v>0.05</v>
      </c>
      <c r="J32" s="45">
        <v>0.05</v>
      </c>
      <c r="K32" s="45">
        <v>0.08</v>
      </c>
      <c r="L32" s="45">
        <v>0.01</v>
      </c>
      <c r="M32" s="45">
        <v>0.05</v>
      </c>
      <c r="N32" s="45">
        <v>0.04</v>
      </c>
      <c r="O32" s="45">
        <v>0.02</v>
      </c>
      <c r="P32" s="45" t="s">
        <v>122</v>
      </c>
      <c r="Q32" s="45" t="s">
        <v>122</v>
      </c>
      <c r="R32" s="45" t="s">
        <v>122</v>
      </c>
      <c r="S32" s="45">
        <v>0.03</v>
      </c>
      <c r="T32" s="45">
        <v>0.01</v>
      </c>
      <c r="U32" s="45">
        <v>0.02</v>
      </c>
      <c r="V32" s="45">
        <v>0.01</v>
      </c>
      <c r="W32" s="45">
        <v>0.01</v>
      </c>
      <c r="X32" s="45">
        <v>0.02</v>
      </c>
      <c r="Y32" s="45">
        <v>0.01</v>
      </c>
      <c r="Z32" s="45" t="s">
        <v>226</v>
      </c>
      <c r="AA32" s="45">
        <v>0.01</v>
      </c>
      <c r="AB32" s="45">
        <v>0.02</v>
      </c>
      <c r="AC32" s="45">
        <v>0.05</v>
      </c>
      <c r="AD32" s="45">
        <v>0.02</v>
      </c>
      <c r="AE32" s="45">
        <v>0.04</v>
      </c>
      <c r="AF32" s="45">
        <v>0.03</v>
      </c>
      <c r="AG32" s="45">
        <v>0.01</v>
      </c>
      <c r="AH32" s="45">
        <v>0.03</v>
      </c>
      <c r="AI32" s="45">
        <v>0.01</v>
      </c>
      <c r="AJ32" s="45">
        <v>0.02</v>
      </c>
      <c r="AK32" s="45">
        <v>0.03</v>
      </c>
      <c r="AL32" s="45" t="s">
        <v>122</v>
      </c>
      <c r="AM32" s="45">
        <v>0.05</v>
      </c>
      <c r="AN32" s="45">
        <v>0.02</v>
      </c>
      <c r="AO32" s="45">
        <v>0.04</v>
      </c>
      <c r="AP32" s="45">
        <v>0.02</v>
      </c>
      <c r="AQ32" s="45">
        <v>0.03</v>
      </c>
      <c r="AR32" s="45">
        <v>0.03</v>
      </c>
      <c r="AS32" s="45">
        <v>0.04</v>
      </c>
      <c r="AT32" s="45">
        <v>0.03</v>
      </c>
      <c r="AU32" s="45">
        <v>0.04</v>
      </c>
      <c r="AV32" s="45">
        <v>0.02</v>
      </c>
      <c r="AW32" s="45">
        <v>0.03</v>
      </c>
      <c r="AX32" s="45">
        <v>0.03</v>
      </c>
      <c r="AY32" s="45">
        <v>0.03</v>
      </c>
      <c r="AZ32" s="45">
        <v>0.03</v>
      </c>
      <c r="BA32" s="45">
        <v>0.03</v>
      </c>
      <c r="BB32" s="45">
        <v>7.0000000000000007E-2</v>
      </c>
      <c r="BC32" s="45">
        <v>0.03</v>
      </c>
      <c r="BD32" s="45">
        <v>7.0000000000000007E-2</v>
      </c>
      <c r="BE32" s="45">
        <v>0.02</v>
      </c>
      <c r="BF32" s="45">
        <v>0.03</v>
      </c>
      <c r="BG32" s="45">
        <v>0.02</v>
      </c>
      <c r="BH32" s="45">
        <v>0.03</v>
      </c>
      <c r="BI32" s="45">
        <v>0.05</v>
      </c>
      <c r="BJ32" s="45">
        <v>7.0000000000000007E-2</v>
      </c>
      <c r="BK32" s="45">
        <v>0.05</v>
      </c>
      <c r="BL32" s="45">
        <v>0.05</v>
      </c>
      <c r="BM32" s="45">
        <v>0.05</v>
      </c>
      <c r="BN32" s="45">
        <v>0.05</v>
      </c>
      <c r="BO32" s="45">
        <v>7.0000000000000007E-2</v>
      </c>
      <c r="BP32" s="45">
        <v>0.04</v>
      </c>
      <c r="BQ32" s="45">
        <v>0.09</v>
      </c>
      <c r="BR32" s="45">
        <v>0.05</v>
      </c>
      <c r="BS32" s="45">
        <v>0.09</v>
      </c>
      <c r="BT32" s="45">
        <v>0.03</v>
      </c>
    </row>
    <row r="33" spans="1:72" ht="15" customHeight="1" x14ac:dyDescent="0.25">
      <c r="A33" s="40" t="s">
        <v>231</v>
      </c>
      <c r="B33" s="41" t="s">
        <v>218</v>
      </c>
      <c r="C33" s="42">
        <v>40873</v>
      </c>
      <c r="D33" s="43">
        <v>4.0000000000000001E-3</v>
      </c>
      <c r="E33" s="44"/>
      <c r="F33" s="45" t="s">
        <v>122</v>
      </c>
      <c r="G33" s="45" t="s">
        <v>122</v>
      </c>
      <c r="H33" s="45" t="s">
        <v>122</v>
      </c>
      <c r="I33" s="45">
        <v>0.03</v>
      </c>
      <c r="J33" s="45">
        <v>0.05</v>
      </c>
      <c r="K33" s="45">
        <v>7.0000000000000007E-2</v>
      </c>
      <c r="L33" s="45">
        <v>0.02</v>
      </c>
      <c r="M33" s="45" t="s">
        <v>122</v>
      </c>
      <c r="N33" s="45" t="s">
        <v>122</v>
      </c>
      <c r="O33" s="45" t="s">
        <v>122</v>
      </c>
      <c r="P33" s="45" t="s">
        <v>122</v>
      </c>
      <c r="Q33" s="45" t="s">
        <v>122</v>
      </c>
      <c r="R33" s="45">
        <v>0.01</v>
      </c>
      <c r="S33" s="45" t="s">
        <v>122</v>
      </c>
      <c r="T33" s="45" t="s">
        <v>122</v>
      </c>
      <c r="U33" s="45" t="s">
        <v>122</v>
      </c>
      <c r="V33" s="45" t="s">
        <v>122</v>
      </c>
      <c r="W33" s="45" t="s">
        <v>229</v>
      </c>
      <c r="X33" s="45" t="s">
        <v>122</v>
      </c>
      <c r="Y33" s="45" t="s">
        <v>122</v>
      </c>
      <c r="Z33" s="45" t="s">
        <v>122</v>
      </c>
      <c r="AA33" s="45" t="s">
        <v>122</v>
      </c>
      <c r="AB33" s="45">
        <v>0.01</v>
      </c>
      <c r="AC33" s="45" t="s">
        <v>122</v>
      </c>
      <c r="AD33" s="45" t="s">
        <v>229</v>
      </c>
      <c r="AE33" s="45" t="s">
        <v>122</v>
      </c>
      <c r="AF33" s="45" t="s">
        <v>122</v>
      </c>
      <c r="AG33" s="45">
        <v>0.01</v>
      </c>
      <c r="AH33" s="45">
        <v>0.02</v>
      </c>
      <c r="AI33" s="45">
        <v>0.02</v>
      </c>
      <c r="AJ33" s="45">
        <v>0.01</v>
      </c>
      <c r="AK33" s="45">
        <v>0.01</v>
      </c>
      <c r="AL33" s="45" t="s">
        <v>122</v>
      </c>
      <c r="AM33" s="45">
        <v>0.04</v>
      </c>
      <c r="AN33" s="45">
        <v>0.02</v>
      </c>
      <c r="AO33" s="45">
        <v>0.01</v>
      </c>
      <c r="AP33" s="45">
        <v>0.03</v>
      </c>
      <c r="AQ33" s="45">
        <v>0.02</v>
      </c>
      <c r="AR33" s="45">
        <v>0.02</v>
      </c>
      <c r="AS33" s="45">
        <v>0.01</v>
      </c>
      <c r="AT33" s="45">
        <v>0.02</v>
      </c>
      <c r="AU33" s="45">
        <v>0.02</v>
      </c>
      <c r="AV33" s="45" t="s">
        <v>122</v>
      </c>
      <c r="AW33" s="45">
        <v>0.02</v>
      </c>
      <c r="AX33" s="45">
        <v>0.02</v>
      </c>
      <c r="AY33" s="45" t="s">
        <v>122</v>
      </c>
      <c r="AZ33" s="45">
        <v>0.02</v>
      </c>
      <c r="BA33" s="45" t="s">
        <v>122</v>
      </c>
      <c r="BB33" s="45">
        <v>0.04</v>
      </c>
      <c r="BC33" s="45" t="s">
        <v>122</v>
      </c>
      <c r="BD33" s="45">
        <v>0.02</v>
      </c>
      <c r="BE33" s="45" t="s">
        <v>122</v>
      </c>
      <c r="BF33" s="45">
        <v>0.01</v>
      </c>
      <c r="BG33" s="45">
        <v>0.02</v>
      </c>
      <c r="BH33" s="45">
        <v>0.01</v>
      </c>
      <c r="BI33" s="45">
        <v>0.02</v>
      </c>
      <c r="BJ33" s="45">
        <v>0.03</v>
      </c>
      <c r="BK33" s="45">
        <v>0.03</v>
      </c>
      <c r="BL33" s="45">
        <v>0.03</v>
      </c>
      <c r="BM33" s="45">
        <v>0.03</v>
      </c>
      <c r="BN33" s="45">
        <v>0.02</v>
      </c>
      <c r="BO33" s="45">
        <v>0.04</v>
      </c>
      <c r="BP33" s="45">
        <v>0.03</v>
      </c>
      <c r="BQ33" s="45">
        <v>0.06</v>
      </c>
      <c r="BR33" s="45">
        <v>0.03</v>
      </c>
      <c r="BS33" s="45">
        <v>0.03</v>
      </c>
      <c r="BT33" s="45">
        <v>0.03</v>
      </c>
    </row>
    <row r="34" spans="1:72" ht="15" customHeight="1" x14ac:dyDescent="0.25">
      <c r="A34" s="40" t="s">
        <v>232</v>
      </c>
      <c r="B34" s="41" t="s">
        <v>218</v>
      </c>
      <c r="C34" s="42">
        <v>63762</v>
      </c>
      <c r="D34" s="43">
        <v>7.0000000000000001E-3</v>
      </c>
      <c r="E34" s="44"/>
      <c r="F34" s="45" t="s">
        <v>122</v>
      </c>
      <c r="G34" s="45">
        <v>0.01</v>
      </c>
      <c r="H34" s="45" t="s">
        <v>122</v>
      </c>
      <c r="I34" s="45">
        <v>0.02</v>
      </c>
      <c r="J34" s="45">
        <v>0.02</v>
      </c>
      <c r="K34" s="45">
        <v>0.02</v>
      </c>
      <c r="L34" s="45">
        <v>0</v>
      </c>
      <c r="M34" s="45" t="s">
        <v>122</v>
      </c>
      <c r="N34" s="45">
        <v>0.02</v>
      </c>
      <c r="O34" s="45" t="s">
        <v>122</v>
      </c>
      <c r="P34" s="45" t="s">
        <v>122</v>
      </c>
      <c r="Q34" s="45" t="s">
        <v>122</v>
      </c>
      <c r="R34" s="45" t="s">
        <v>122</v>
      </c>
      <c r="S34" s="45" t="s">
        <v>122</v>
      </c>
      <c r="T34" s="45">
        <v>0.01</v>
      </c>
      <c r="U34" s="45">
        <v>0.01</v>
      </c>
      <c r="V34" s="45" t="s">
        <v>122</v>
      </c>
      <c r="W34" s="45">
        <v>0.01</v>
      </c>
      <c r="X34" s="45" t="s">
        <v>229</v>
      </c>
      <c r="Y34" s="45" t="s">
        <v>122</v>
      </c>
      <c r="Z34" s="45" t="s">
        <v>226</v>
      </c>
      <c r="AA34" s="45">
        <v>0.01</v>
      </c>
      <c r="AB34" s="45">
        <v>0.01</v>
      </c>
      <c r="AC34" s="45">
        <v>0.02</v>
      </c>
      <c r="AD34" s="45">
        <v>0.01</v>
      </c>
      <c r="AE34" s="45">
        <v>0.01</v>
      </c>
      <c r="AF34" s="45">
        <v>0.02</v>
      </c>
      <c r="AG34" s="45">
        <v>0.01</v>
      </c>
      <c r="AH34" s="45">
        <v>0.02</v>
      </c>
      <c r="AI34" s="45" t="s">
        <v>122</v>
      </c>
      <c r="AJ34" s="45">
        <v>0.01</v>
      </c>
      <c r="AK34" s="45">
        <v>0.01</v>
      </c>
      <c r="AL34" s="45" t="s">
        <v>122</v>
      </c>
      <c r="AM34" s="45">
        <v>0.01</v>
      </c>
      <c r="AN34" s="45">
        <v>0.02</v>
      </c>
      <c r="AO34" s="45" t="s">
        <v>229</v>
      </c>
      <c r="AP34" s="45" t="s">
        <v>122</v>
      </c>
      <c r="AQ34" s="45">
        <v>0.01</v>
      </c>
      <c r="AR34" s="45">
        <v>0.01</v>
      </c>
      <c r="AS34" s="45">
        <v>0.01</v>
      </c>
      <c r="AT34" s="45">
        <v>0.01</v>
      </c>
      <c r="AU34" s="45">
        <v>0.01</v>
      </c>
      <c r="AV34" s="45" t="s">
        <v>122</v>
      </c>
      <c r="AW34" s="45">
        <v>0.01</v>
      </c>
      <c r="AX34" s="45">
        <v>0.02</v>
      </c>
      <c r="AY34" s="45" t="s">
        <v>122</v>
      </c>
      <c r="AZ34" s="45">
        <v>0.01</v>
      </c>
      <c r="BA34" s="45" t="s">
        <v>122</v>
      </c>
      <c r="BB34" s="45">
        <v>0.03</v>
      </c>
      <c r="BC34" s="45">
        <v>0.02</v>
      </c>
      <c r="BD34" s="45">
        <v>0.01</v>
      </c>
      <c r="BE34" s="45">
        <v>0.01</v>
      </c>
      <c r="BF34" s="45">
        <v>0.02</v>
      </c>
      <c r="BG34" s="45">
        <v>0.03</v>
      </c>
      <c r="BH34" s="45">
        <v>0.01</v>
      </c>
      <c r="BI34" s="45">
        <v>0.02</v>
      </c>
      <c r="BJ34" s="45">
        <v>0.03</v>
      </c>
      <c r="BK34" s="45">
        <v>0.02</v>
      </c>
      <c r="BL34" s="45" t="s">
        <v>122</v>
      </c>
      <c r="BM34" s="45">
        <v>0.03</v>
      </c>
      <c r="BN34" s="45">
        <v>0.03</v>
      </c>
      <c r="BO34" s="45">
        <v>0.01</v>
      </c>
      <c r="BP34" s="45" t="s">
        <v>122</v>
      </c>
      <c r="BQ34" s="45" t="s">
        <v>122</v>
      </c>
      <c r="BR34" s="45">
        <v>0.02</v>
      </c>
      <c r="BS34" s="45">
        <v>0.03</v>
      </c>
      <c r="BT34" s="45">
        <v>0.02</v>
      </c>
    </row>
    <row r="35" spans="1:72" ht="15" customHeight="1" x14ac:dyDescent="0.25">
      <c r="A35" s="40" t="s">
        <v>233</v>
      </c>
      <c r="B35" s="41" t="s">
        <v>234</v>
      </c>
      <c r="C35" s="42" t="s">
        <v>234</v>
      </c>
      <c r="D35" s="43" t="s">
        <v>234</v>
      </c>
      <c r="E35" s="44" t="s">
        <v>234</v>
      </c>
      <c r="F35" s="45">
        <v>0.04</v>
      </c>
      <c r="G35" s="45">
        <v>0.02</v>
      </c>
      <c r="H35" s="45">
        <v>0.12</v>
      </c>
      <c r="I35" s="45">
        <v>0.05</v>
      </c>
      <c r="J35" s="45">
        <v>0.1</v>
      </c>
      <c r="K35" s="45">
        <v>0.05</v>
      </c>
      <c r="L35" s="45">
        <v>0.38</v>
      </c>
      <c r="M35" s="45">
        <v>0.38</v>
      </c>
      <c r="N35" s="45">
        <v>0.12</v>
      </c>
      <c r="O35" s="45">
        <v>0.1</v>
      </c>
      <c r="P35" s="45" t="s">
        <v>122</v>
      </c>
      <c r="Q35" s="45" t="s">
        <v>122</v>
      </c>
      <c r="R35" s="45">
        <v>7.0000000000000007E-2</v>
      </c>
      <c r="S35" s="45">
        <v>0.01</v>
      </c>
      <c r="T35" s="45">
        <v>7.0000000000000007E-2</v>
      </c>
      <c r="U35" s="45">
        <v>7.0000000000000007E-2</v>
      </c>
      <c r="V35" s="45" t="s">
        <v>122</v>
      </c>
      <c r="W35" s="45">
        <v>0.13</v>
      </c>
      <c r="X35" s="45">
        <v>0.06</v>
      </c>
      <c r="Y35" s="45">
        <v>0.1</v>
      </c>
      <c r="Z35" s="45">
        <v>0.08</v>
      </c>
      <c r="AA35" s="45">
        <v>0.06</v>
      </c>
      <c r="AB35" s="45">
        <v>0.14000000000000001</v>
      </c>
      <c r="AC35" s="45">
        <v>0.17</v>
      </c>
      <c r="AD35" s="45">
        <v>0.05</v>
      </c>
      <c r="AE35" s="45">
        <v>0.26</v>
      </c>
      <c r="AF35" s="45">
        <v>0.01</v>
      </c>
      <c r="AG35" s="45" t="s">
        <v>122</v>
      </c>
      <c r="AH35" s="45">
        <v>0.1</v>
      </c>
      <c r="AI35" s="45">
        <v>0.23</v>
      </c>
      <c r="AJ35" s="45">
        <v>0.2</v>
      </c>
      <c r="AK35" s="45">
        <v>0.23</v>
      </c>
      <c r="AL35" s="45">
        <v>0.09</v>
      </c>
      <c r="AM35" s="45">
        <v>0.18</v>
      </c>
      <c r="AN35" s="45">
        <v>0.1</v>
      </c>
      <c r="AO35" s="45">
        <v>0.24</v>
      </c>
      <c r="AP35" s="45">
        <v>0.2</v>
      </c>
      <c r="AQ35" s="45" t="s">
        <v>122</v>
      </c>
      <c r="AR35" s="45">
        <v>0.24</v>
      </c>
      <c r="AS35" s="45" t="s">
        <v>122</v>
      </c>
      <c r="AT35" s="45">
        <v>0.25</v>
      </c>
      <c r="AU35" s="45">
        <v>0.17</v>
      </c>
      <c r="AV35" s="45">
        <v>0.15</v>
      </c>
      <c r="AW35" s="45">
        <v>0.13</v>
      </c>
      <c r="AX35" s="45">
        <v>0.21</v>
      </c>
      <c r="AY35" s="45">
        <v>0.25</v>
      </c>
      <c r="AZ35" s="45">
        <v>0.04</v>
      </c>
      <c r="BA35" s="45">
        <v>0.21</v>
      </c>
      <c r="BB35" s="45">
        <v>0.15</v>
      </c>
      <c r="BC35" s="45">
        <v>0.23</v>
      </c>
      <c r="BD35" s="45">
        <v>0.16</v>
      </c>
      <c r="BE35" s="45">
        <v>0.17</v>
      </c>
      <c r="BF35" s="45">
        <v>0.25</v>
      </c>
      <c r="BG35" s="45">
        <v>0.31</v>
      </c>
      <c r="BH35" s="45">
        <v>0.2</v>
      </c>
      <c r="BI35" s="45">
        <v>0.31</v>
      </c>
      <c r="BJ35" s="45">
        <v>0.22</v>
      </c>
      <c r="BK35" s="45">
        <v>0.28999999999999998</v>
      </c>
      <c r="BL35" s="45">
        <v>0.44</v>
      </c>
      <c r="BM35" s="45" t="s">
        <v>122</v>
      </c>
      <c r="BN35" s="45">
        <v>0.39</v>
      </c>
      <c r="BO35" s="45">
        <v>0.28999999999999998</v>
      </c>
      <c r="BP35" s="45">
        <v>0.38</v>
      </c>
      <c r="BQ35" s="45">
        <v>0.09</v>
      </c>
      <c r="BR35" s="45">
        <v>0.54</v>
      </c>
      <c r="BS35" s="45">
        <v>0.45</v>
      </c>
      <c r="BT35" s="45" t="s">
        <v>122</v>
      </c>
    </row>
    <row r="37" spans="1:72" ht="15" customHeight="1" x14ac:dyDescent="0.25">
      <c r="F37" s="3"/>
      <c r="G37" s="3"/>
      <c r="H37" s="3"/>
      <c r="I37" s="3"/>
      <c r="J37" s="3"/>
      <c r="K37" s="3"/>
      <c r="L37" s="3"/>
      <c r="M37" s="3"/>
    </row>
    <row r="38" spans="1:72" ht="15" customHeight="1" x14ac:dyDescent="0.25">
      <c r="F38" s="3"/>
      <c r="G38" s="3"/>
      <c r="H38" s="3"/>
      <c r="I38" s="3"/>
      <c r="J38" s="3"/>
      <c r="K38" s="3"/>
      <c r="L38" s="3"/>
      <c r="M38" s="3"/>
    </row>
  </sheetData>
  <mergeCells count="5">
    <mergeCell ref="A1:L1"/>
    <mergeCell ref="A2:L2"/>
    <mergeCell ref="M10:T11"/>
    <mergeCell ref="F22:M22"/>
    <mergeCell ref="F37:M38"/>
  </mergeCells>
  <conditionalFormatting sqref="B15:E15">
    <cfRule type="expression" dxfId="11" priority="3">
      <formula>ROUND(B15,1)&gt;ROUND(B16,1)</formula>
    </cfRule>
  </conditionalFormatting>
  <conditionalFormatting sqref="B16:E16">
    <cfRule type="expression" dxfId="10" priority="5">
      <formula>ROUND(B16,1)&gt;ROUND(B15,1)</formula>
    </cfRule>
  </conditionalFormatting>
  <conditionalFormatting sqref="B19:E19">
    <cfRule type="expression" dxfId="9" priority="8">
      <formula>LEFT(B19,7)="Becerra"</formula>
    </cfRule>
    <cfRule type="expression" dxfId="8" priority="9">
      <formula>LEFT(B19,6)="Hilton"</formula>
    </cfRule>
  </conditionalFormatting>
  <conditionalFormatting sqref="B5:M5">
    <cfRule type="expression" dxfId="7" priority="2">
      <formula>AND(ISNUMBER(B5),ISNUMBER(B6),ROUND(B5,1)&gt;ROUND(B6,1))</formula>
    </cfRule>
  </conditionalFormatting>
  <conditionalFormatting sqref="B6:M6">
    <cfRule type="expression" dxfId="6" priority="4">
      <formula>AND(ISNUMBER(B5),ISNUMBER(B6),ROUND(B6,1)&gt;ROUND(B5,1))</formula>
    </cfRule>
  </conditionalFormatting>
  <conditionalFormatting sqref="B9:M9">
    <cfRule type="expression" dxfId="5" priority="6">
      <formula>LEFT(B9,7)="Becerra"</formula>
    </cfRule>
    <cfRule type="expression" dxfId="4" priority="7">
      <formula>LEFT(B9,6)="Hilton"</formula>
    </cfRule>
  </conditionalFormatting>
  <conditionalFormatting sqref="N5:CB5">
    <cfRule type="expression" dxfId="3" priority="10">
      <formula>AND(ISNUMBER(N5),ISNUMBER(N6),ROUND(N5,1)&gt;ROUND(N6,1))</formula>
    </cfRule>
  </conditionalFormatting>
  <conditionalFormatting sqref="N6:CB6">
    <cfRule type="expression" dxfId="2" priority="11">
      <formula>AND(ISNUMBER(N5),ISNUMBER(N6),ROUND(N6,1)&gt;ROUND(N5,1))</formula>
    </cfRule>
  </conditionalFormatting>
  <conditionalFormatting sqref="CC5">
    <cfRule type="expression" dxfId="1" priority="12">
      <formula>ROUND(CC5,1)&gt;ROUND(CC6,1)</formula>
    </cfRule>
  </conditionalFormatting>
  <conditionalFormatting sqref="CC6">
    <cfRule type="expression" dxfId="0" priority="13">
      <formula>ROUND(CC6,1)&gt;ROUND(CC5,1)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zoomScaleNormal="100" workbookViewId="0">
      <pane ySplit="2" topLeftCell="A3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19" customWidth="1"/>
    <col min="3" max="3" width="23" customWidth="1"/>
    <col min="4" max="4" width="15" customWidth="1"/>
    <col min="5" max="5" width="18" customWidth="1"/>
    <col min="6" max="6" width="28" customWidth="1"/>
    <col min="7" max="7" width="27" customWidth="1"/>
    <col min="8" max="8" width="36" customWidth="1"/>
  </cols>
  <sheetData>
    <row r="1" spans="1:8" ht="30" customHeight="1" x14ac:dyDescent="0.25">
      <c r="A1" s="1" t="s">
        <v>235</v>
      </c>
      <c r="B1" s="1"/>
      <c r="C1" s="1"/>
      <c r="D1" s="1"/>
      <c r="E1" s="1"/>
      <c r="F1" s="1"/>
      <c r="G1" s="1"/>
      <c r="H1" s="1"/>
    </row>
    <row r="2" spans="1:8" ht="54" customHeight="1" x14ac:dyDescent="0.25">
      <c r="A2" s="47" t="s">
        <v>236</v>
      </c>
      <c r="B2" s="48" t="s">
        <v>237</v>
      </c>
      <c r="C2" s="48" t="s">
        <v>182</v>
      </c>
      <c r="D2" s="48" t="s">
        <v>183</v>
      </c>
      <c r="E2" s="48" t="s">
        <v>238</v>
      </c>
    </row>
    <row r="3" spans="1:8" ht="54" customHeight="1" x14ac:dyDescent="0.25">
      <c r="A3" s="49">
        <v>45939</v>
      </c>
      <c r="B3" s="50" t="s">
        <v>239</v>
      </c>
      <c r="C3" s="50" t="s">
        <v>225</v>
      </c>
      <c r="D3" s="50" t="s">
        <v>218</v>
      </c>
      <c r="E3" s="51">
        <v>0.17</v>
      </c>
    </row>
    <row r="4" spans="1:8" ht="54" customHeight="1" x14ac:dyDescent="0.25">
      <c r="A4" s="49">
        <v>45948</v>
      </c>
      <c r="B4" s="50" t="s">
        <v>239</v>
      </c>
      <c r="C4" s="50" t="s">
        <v>225</v>
      </c>
      <c r="D4" s="50" t="s">
        <v>218</v>
      </c>
      <c r="E4" s="51">
        <v>0.24</v>
      </c>
    </row>
    <row r="5" spans="1:8" ht="54" customHeight="1" x14ac:dyDescent="0.25">
      <c r="A5" s="49">
        <v>46122</v>
      </c>
      <c r="B5" s="50" t="s">
        <v>239</v>
      </c>
      <c r="C5" s="50" t="s">
        <v>223</v>
      </c>
      <c r="D5" s="50" t="s">
        <v>218</v>
      </c>
      <c r="E5" s="51">
        <v>0.56000000000000005</v>
      </c>
    </row>
    <row r="6" spans="1:8" ht="54" customHeight="1" x14ac:dyDescent="0.25">
      <c r="A6" s="49">
        <v>46122</v>
      </c>
      <c r="B6" s="50" t="s">
        <v>239</v>
      </c>
      <c r="C6" s="50" t="s">
        <v>225</v>
      </c>
      <c r="D6" s="50" t="s">
        <v>218</v>
      </c>
      <c r="E6" s="51">
        <v>0.12</v>
      </c>
    </row>
    <row r="7" spans="1:8" ht="54" customHeight="1" x14ac:dyDescent="0.25">
      <c r="A7" s="49">
        <v>46122</v>
      </c>
      <c r="B7" s="50" t="s">
        <v>239</v>
      </c>
      <c r="C7" s="50" t="s">
        <v>228</v>
      </c>
      <c r="D7" s="50" t="s">
        <v>218</v>
      </c>
      <c r="E7" s="51">
        <v>7.0000000000000007E-2</v>
      </c>
    </row>
    <row r="8" spans="1:8" ht="54" customHeight="1" x14ac:dyDescent="0.25">
      <c r="A8" s="49">
        <v>46303</v>
      </c>
      <c r="B8" s="50" t="s">
        <v>239</v>
      </c>
      <c r="C8" s="50" t="s">
        <v>217</v>
      </c>
      <c r="D8" s="50" t="s">
        <v>218</v>
      </c>
      <c r="E8" s="51">
        <v>0.96599999999999997</v>
      </c>
    </row>
    <row r="9" spans="1:8" ht="54" customHeight="1" x14ac:dyDescent="0.25">
      <c r="A9" s="52">
        <v>46303</v>
      </c>
      <c r="B9" s="53" t="s">
        <v>239</v>
      </c>
      <c r="C9" s="53" t="s">
        <v>220</v>
      </c>
      <c r="D9" s="53" t="s">
        <v>221</v>
      </c>
      <c r="E9" s="54">
        <v>4.1000000000000002E-2</v>
      </c>
    </row>
    <row r="10" spans="1:8" ht="54" customHeight="1" x14ac:dyDescent="0.25">
      <c r="A10" s="49">
        <v>46304</v>
      </c>
      <c r="B10" s="50" t="s">
        <v>240</v>
      </c>
      <c r="C10" s="50" t="s">
        <v>217</v>
      </c>
      <c r="D10" s="50" t="s">
        <v>218</v>
      </c>
      <c r="E10" s="51">
        <v>0.96</v>
      </c>
    </row>
    <row r="11" spans="1:8" ht="54" customHeight="1" x14ac:dyDescent="0.25">
      <c r="A11" s="55">
        <v>46304</v>
      </c>
      <c r="B11" s="56" t="s">
        <v>240</v>
      </c>
      <c r="C11" s="56" t="s">
        <v>220</v>
      </c>
      <c r="D11" s="56" t="s">
        <v>221</v>
      </c>
      <c r="E11" s="57">
        <v>3.7999999999999999E-2</v>
      </c>
    </row>
    <row r="12" spans="1:8" ht="24" customHeight="1" x14ac:dyDescent="0.25">
      <c r="A12" s="58"/>
      <c r="B12" s="58"/>
      <c r="C12" s="58"/>
      <c r="D12" s="58"/>
      <c r="E12" s="58"/>
      <c r="F12" s="58"/>
      <c r="G12" s="58"/>
      <c r="H12" s="58"/>
    </row>
    <row r="13" spans="1:8" ht="24" customHeight="1" x14ac:dyDescent="0.25">
      <c r="A13" s="58"/>
      <c r="B13" s="58"/>
      <c r="C13" s="58"/>
      <c r="D13" s="58"/>
      <c r="E13" s="58"/>
      <c r="F13" s="58"/>
      <c r="G13" s="58"/>
      <c r="H13" s="58"/>
    </row>
    <row r="14" spans="1:8" ht="24" customHeight="1" x14ac:dyDescent="0.25">
      <c r="A14" s="58"/>
      <c r="B14" s="58"/>
      <c r="C14" s="58"/>
      <c r="D14" s="58"/>
      <c r="E14" s="58"/>
      <c r="F14" s="58"/>
      <c r="G14" s="58"/>
      <c r="H14" s="58"/>
    </row>
    <row r="15" spans="1:8" ht="24" customHeight="1" x14ac:dyDescent="0.25">
      <c r="A15" s="58"/>
      <c r="B15" s="58"/>
      <c r="C15" s="58"/>
      <c r="D15" s="58"/>
      <c r="E15" s="58"/>
      <c r="F15" s="58"/>
      <c r="G15" s="58"/>
      <c r="H15" s="58"/>
    </row>
    <row r="16" spans="1:8" ht="24" customHeight="1" x14ac:dyDescent="0.25">
      <c r="A16" s="58"/>
      <c r="B16" s="58"/>
      <c r="C16" s="58"/>
      <c r="D16" s="58"/>
      <c r="E16" s="58"/>
      <c r="F16" s="58"/>
      <c r="G16" s="58"/>
      <c r="H16" s="58"/>
    </row>
    <row r="17" spans="1:8" ht="24" customHeight="1" x14ac:dyDescent="0.25">
      <c r="A17" s="58"/>
      <c r="B17" s="58"/>
      <c r="C17" s="58"/>
      <c r="D17" s="58"/>
      <c r="E17" s="58"/>
      <c r="F17" s="58"/>
      <c r="G17" s="58"/>
      <c r="H17" s="58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14" sqref="D14"/>
    </sheetView>
  </sheetViews>
  <sheetFormatPr baseColWidth="10" defaultColWidth="9.140625" defaultRowHeight="15" x14ac:dyDescent="0.25"/>
  <cols>
    <col min="1" max="1" width="34" customWidth="1"/>
    <col min="2" max="9" width="19" customWidth="1"/>
  </cols>
  <sheetData>
    <row r="1" spans="1:11" ht="36" customHeight="1" x14ac:dyDescent="0.25">
      <c r="A1" s="47" t="s">
        <v>3</v>
      </c>
      <c r="B1" s="48" t="s">
        <v>189</v>
      </c>
      <c r="C1" s="48" t="s">
        <v>188</v>
      </c>
      <c r="D1" s="48" t="s">
        <v>9</v>
      </c>
      <c r="E1" s="48" t="s">
        <v>9</v>
      </c>
      <c r="F1" s="48" t="s">
        <v>9</v>
      </c>
      <c r="G1" s="48" t="s">
        <v>187</v>
      </c>
      <c r="H1" s="48" t="s">
        <v>9</v>
      </c>
      <c r="I1" s="59" t="s">
        <v>187</v>
      </c>
    </row>
    <row r="2" spans="1:11" ht="24" customHeight="1" x14ac:dyDescent="0.25">
      <c r="A2" s="60" t="s">
        <v>241</v>
      </c>
      <c r="B2" s="61">
        <v>45873</v>
      </c>
      <c r="C2" s="61">
        <v>45880</v>
      </c>
      <c r="D2" s="61">
        <v>45974</v>
      </c>
      <c r="E2" s="61">
        <v>46056</v>
      </c>
      <c r="F2" s="61">
        <v>46107</v>
      </c>
      <c r="G2" s="61">
        <v>46151</v>
      </c>
      <c r="H2" s="61">
        <v>46156</v>
      </c>
      <c r="I2" s="62">
        <v>46169</v>
      </c>
    </row>
    <row r="3" spans="1:11" ht="24" customHeight="1" x14ac:dyDescent="0.25">
      <c r="A3" s="60" t="s">
        <v>242</v>
      </c>
      <c r="B3" s="61">
        <v>45874</v>
      </c>
      <c r="C3" s="61">
        <v>45886</v>
      </c>
      <c r="D3" s="61">
        <v>45980</v>
      </c>
      <c r="E3" s="61">
        <v>46064</v>
      </c>
      <c r="F3" s="61">
        <v>46115</v>
      </c>
      <c r="G3" s="61">
        <v>46152</v>
      </c>
      <c r="H3" s="61">
        <v>46160</v>
      </c>
      <c r="I3" s="62">
        <v>46170</v>
      </c>
    </row>
    <row r="4" spans="1:11" ht="43.5" customHeight="1" x14ac:dyDescent="0.25">
      <c r="A4" s="60" t="s">
        <v>243</v>
      </c>
      <c r="B4" s="63" t="s">
        <v>244</v>
      </c>
      <c r="C4" s="63" t="s">
        <v>245</v>
      </c>
      <c r="D4" s="63" t="s">
        <v>246</v>
      </c>
      <c r="E4" s="63" t="s">
        <v>246</v>
      </c>
      <c r="F4" s="63" t="s">
        <v>246</v>
      </c>
      <c r="G4" s="63" t="s">
        <v>247</v>
      </c>
      <c r="H4" s="63" t="s">
        <v>246</v>
      </c>
      <c r="I4" s="64" t="s">
        <v>247</v>
      </c>
    </row>
    <row r="5" spans="1:11" ht="24" customHeight="1" x14ac:dyDescent="0.25">
      <c r="A5" s="65" t="s">
        <v>248</v>
      </c>
      <c r="B5" s="66" t="s">
        <v>122</v>
      </c>
      <c r="C5" s="66">
        <v>0.09</v>
      </c>
      <c r="D5" s="66">
        <v>0.14000000000000001</v>
      </c>
      <c r="E5" s="66">
        <v>0.05</v>
      </c>
      <c r="F5" s="66">
        <v>0.05</v>
      </c>
      <c r="G5" s="66">
        <v>0.19</v>
      </c>
      <c r="H5" s="66">
        <v>0.23</v>
      </c>
      <c r="I5" s="67">
        <v>0.28000000000000003</v>
      </c>
    </row>
    <row r="6" spans="1:11" ht="24" customHeight="1" x14ac:dyDescent="0.25">
      <c r="A6" s="68" t="s">
        <v>249</v>
      </c>
      <c r="B6" s="69">
        <v>0.12</v>
      </c>
      <c r="C6" s="69">
        <v>0.06</v>
      </c>
      <c r="D6" s="69">
        <v>0.14000000000000001</v>
      </c>
      <c r="E6" s="69">
        <v>0.14000000000000001</v>
      </c>
      <c r="F6" s="69">
        <v>0.17</v>
      </c>
      <c r="G6" s="69">
        <v>0.17</v>
      </c>
      <c r="H6" s="69">
        <v>0.2</v>
      </c>
      <c r="I6" s="70">
        <v>0.21</v>
      </c>
    </row>
    <row r="7" spans="1:11" ht="24" customHeight="1" x14ac:dyDescent="0.25">
      <c r="A7" s="65" t="s">
        <v>250</v>
      </c>
      <c r="B7" s="66">
        <v>0.18</v>
      </c>
      <c r="C7" s="66">
        <v>0.17</v>
      </c>
      <c r="D7" s="66">
        <v>0.21</v>
      </c>
      <c r="E7" s="66">
        <v>0.13</v>
      </c>
      <c r="F7" s="66">
        <v>0.1</v>
      </c>
      <c r="G7" s="66">
        <v>0.1</v>
      </c>
      <c r="H7" s="66">
        <v>0.12</v>
      </c>
      <c r="I7" s="67">
        <v>0.05</v>
      </c>
    </row>
    <row r="8" spans="1:11" ht="24" customHeight="1" x14ac:dyDescent="0.25">
      <c r="A8" s="68" t="s">
        <v>251</v>
      </c>
      <c r="B8" s="69">
        <v>7.0000000000000007E-2</v>
      </c>
      <c r="C8" s="69">
        <v>0.1</v>
      </c>
      <c r="D8" s="69">
        <v>0.1</v>
      </c>
      <c r="E8" s="69">
        <v>0.12</v>
      </c>
      <c r="F8" s="69">
        <v>0.14000000000000001</v>
      </c>
      <c r="G8" s="69" t="s">
        <v>122</v>
      </c>
      <c r="H8" s="69">
        <v>0.13</v>
      </c>
      <c r="I8" s="70">
        <v>0.12</v>
      </c>
      <c r="K8" t="s">
        <v>2</v>
      </c>
    </row>
    <row r="9" spans="1:11" ht="24" customHeight="1" x14ac:dyDescent="0.25">
      <c r="A9" s="65" t="s">
        <v>252</v>
      </c>
      <c r="B9" s="66" t="s">
        <v>122</v>
      </c>
      <c r="C9" s="66" t="s">
        <v>122</v>
      </c>
      <c r="D9" s="66" t="s">
        <v>122</v>
      </c>
      <c r="E9" s="66">
        <v>0.1</v>
      </c>
      <c r="F9" s="66">
        <v>0.14000000000000001</v>
      </c>
      <c r="G9" s="66">
        <v>0.17</v>
      </c>
      <c r="H9" s="66">
        <v>0.15</v>
      </c>
      <c r="I9" s="67">
        <v>0.22</v>
      </c>
    </row>
    <row r="10" spans="1:11" ht="24" customHeight="1" x14ac:dyDescent="0.25">
      <c r="A10" s="65" t="s">
        <v>253</v>
      </c>
      <c r="B10" s="66" t="s">
        <v>122</v>
      </c>
      <c r="C10" s="66" t="s">
        <v>122</v>
      </c>
      <c r="D10" s="66" t="s">
        <v>122</v>
      </c>
      <c r="E10" s="66">
        <v>0.11</v>
      </c>
      <c r="F10" s="66">
        <v>0.18</v>
      </c>
      <c r="G10" s="66" t="s">
        <v>122</v>
      </c>
      <c r="H10" s="66" t="s">
        <v>122</v>
      </c>
      <c r="I10" s="67" t="s">
        <v>122</v>
      </c>
    </row>
    <row r="11" spans="1:11" ht="24" customHeight="1" x14ac:dyDescent="0.25">
      <c r="A11" s="65" t="s">
        <v>254</v>
      </c>
      <c r="B11" s="66">
        <v>0.05</v>
      </c>
      <c r="C11" s="66">
        <v>0.01</v>
      </c>
      <c r="D11" s="66">
        <v>0.08</v>
      </c>
      <c r="E11" s="66">
        <v>0.05</v>
      </c>
      <c r="F11" s="66">
        <v>0.05</v>
      </c>
      <c r="G11" s="66" t="s">
        <v>122</v>
      </c>
      <c r="H11" s="66">
        <v>0.05</v>
      </c>
      <c r="I11" s="67" t="s">
        <v>122</v>
      </c>
    </row>
    <row r="12" spans="1:11" ht="24" customHeight="1" x14ac:dyDescent="0.25">
      <c r="A12" s="65" t="s">
        <v>255</v>
      </c>
      <c r="B12" s="66" t="s">
        <v>122</v>
      </c>
      <c r="C12" s="66">
        <v>0.02</v>
      </c>
      <c r="D12" s="66">
        <v>7.0000000000000007E-2</v>
      </c>
      <c r="E12" s="66">
        <v>0.05</v>
      </c>
      <c r="F12" s="66">
        <v>0.03</v>
      </c>
      <c r="G12" s="66" t="s">
        <v>122</v>
      </c>
      <c r="H12" s="66" t="s">
        <v>122</v>
      </c>
      <c r="I12" s="67" t="s">
        <v>122</v>
      </c>
    </row>
    <row r="13" spans="1:11" ht="24" customHeight="1" x14ac:dyDescent="0.25">
      <c r="A13" s="65" t="s">
        <v>256</v>
      </c>
      <c r="B13" s="66" t="s">
        <v>122</v>
      </c>
      <c r="C13" s="66" t="s">
        <v>122</v>
      </c>
      <c r="D13" s="66" t="s">
        <v>122</v>
      </c>
      <c r="E13" s="66">
        <v>0.03</v>
      </c>
      <c r="F13" s="66">
        <v>0.05</v>
      </c>
      <c r="G13" s="66">
        <v>0.08</v>
      </c>
      <c r="H13" s="66">
        <v>7.0000000000000007E-2</v>
      </c>
      <c r="I13" s="67">
        <v>0.05</v>
      </c>
    </row>
    <row r="14" spans="1:11" ht="24" customHeight="1" x14ac:dyDescent="0.25">
      <c r="A14" s="65" t="s">
        <v>257</v>
      </c>
      <c r="B14" s="66" t="s">
        <v>122</v>
      </c>
      <c r="C14" s="66">
        <v>0</v>
      </c>
      <c r="D14" s="66">
        <v>0.02</v>
      </c>
      <c r="E14" s="66">
        <v>0.02</v>
      </c>
      <c r="F14" s="66">
        <v>0.02</v>
      </c>
      <c r="G14" s="66" t="s">
        <v>122</v>
      </c>
      <c r="H14" s="66">
        <v>0.01</v>
      </c>
      <c r="I14" s="67" t="s">
        <v>122</v>
      </c>
    </row>
    <row r="15" spans="1:11" ht="24" customHeight="1" x14ac:dyDescent="0.25">
      <c r="A15" s="71" t="s">
        <v>233</v>
      </c>
      <c r="B15" s="72">
        <v>0.38</v>
      </c>
      <c r="C15" s="72">
        <v>0.38</v>
      </c>
      <c r="D15" s="72">
        <v>0.05</v>
      </c>
      <c r="E15" s="72">
        <v>0.1</v>
      </c>
      <c r="F15" s="72">
        <v>0.05</v>
      </c>
      <c r="G15" s="72">
        <v>0.12</v>
      </c>
      <c r="H15" s="72">
        <v>0.02</v>
      </c>
      <c r="I15" s="73">
        <v>0.04</v>
      </c>
    </row>
    <row r="16" spans="1:11" ht="24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24" customHeight="1" x14ac:dyDescent="0.25">
      <c r="A17" s="58"/>
      <c r="B17" s="58"/>
      <c r="C17" s="58"/>
      <c r="D17" s="58"/>
      <c r="E17" s="58"/>
      <c r="F17" s="58"/>
      <c r="G17" s="58"/>
      <c r="H17" s="58"/>
      <c r="I17" s="58"/>
    </row>
    <row r="18" spans="1:9" ht="24" customHeight="1" x14ac:dyDescent="0.25">
      <c r="A18" s="58"/>
      <c r="B18" s="58"/>
      <c r="C18" s="58"/>
      <c r="D18" s="58"/>
      <c r="E18" s="58"/>
      <c r="F18" s="58"/>
      <c r="G18" s="58"/>
      <c r="H18" s="58"/>
      <c r="I18" s="58"/>
    </row>
    <row r="19" spans="1:9" ht="24" customHeight="1" x14ac:dyDescent="0.25">
      <c r="A19" s="58"/>
      <c r="B19" s="58"/>
      <c r="C19" s="58"/>
      <c r="D19" s="58"/>
      <c r="E19" s="58"/>
      <c r="F19" s="58"/>
      <c r="G19" s="58"/>
      <c r="H19" s="58"/>
      <c r="I19" s="58"/>
    </row>
    <row r="20" spans="1:9" ht="24" customHeight="1" x14ac:dyDescent="0.25">
      <c r="A20" s="58"/>
      <c r="B20" s="58"/>
      <c r="C20" s="58"/>
      <c r="D20" s="58"/>
      <c r="E20" s="58"/>
      <c r="F20" s="58"/>
      <c r="G20" s="58"/>
      <c r="H20" s="58"/>
      <c r="I20" s="58"/>
    </row>
    <row r="21" spans="1:9" ht="24" customHeight="1" x14ac:dyDescent="0.25">
      <c r="A21" s="58"/>
      <c r="B21" s="58"/>
      <c r="C21" s="58"/>
      <c r="D21" s="58"/>
      <c r="E21" s="58"/>
      <c r="F21" s="58"/>
      <c r="G21" s="58"/>
      <c r="H21" s="58"/>
      <c r="I21" s="58"/>
    </row>
    <row r="22" spans="1:9" ht="24" customHeight="1" x14ac:dyDescent="0.25">
      <c r="A22" s="58"/>
      <c r="B22" s="58"/>
      <c r="C22" s="58"/>
      <c r="D22" s="58"/>
      <c r="E22" s="58"/>
      <c r="F22" s="58"/>
      <c r="G22" s="58"/>
      <c r="H22" s="58"/>
      <c r="I22" s="5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Gobernador California</vt:lpstr>
      <vt:lpstr>Apuestas</vt:lpstr>
      <vt:lpstr>Histórico encuestas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CASIOPEA 2024 GOB</dc:creator>
  <dc:description/>
  <cp:lastModifiedBy>CASIOPEA 2024 GOB</cp:lastModifiedBy>
  <cp:revision>0</cp:revision>
  <dcterms:created xsi:type="dcterms:W3CDTF">2026-10-09T17:43:54Z</dcterms:created>
  <dcterms:modified xsi:type="dcterms:W3CDTF">2026-10-09T22:55:24Z</dcterms:modified>
  <dc:language>en-US</dc:language>
</cp:coreProperties>
</file>